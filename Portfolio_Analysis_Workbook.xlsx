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tuedu.sharepoint.com/sites/InvestmentsTeamAlpha/Shared Documents/General/"/>
    </mc:Choice>
  </mc:AlternateContent>
  <xr:revisionPtr revIDLastSave="0" documentId="8_{9796ECA5-7AEE-4788-8BFE-6DF62E3F1E45}" xr6:coauthVersionLast="47" xr6:coauthVersionMax="47" xr10:uidLastSave="{00000000-0000-0000-0000-000000000000}"/>
  <bookViews>
    <workbookView xWindow="3360" yWindow="-16320" windowWidth="29040" windowHeight="15720" tabRatio="961" firstSheet="7" activeTab="7" xr2:uid="{00000000-000D-0000-FFFF-FFFF00000000}"/>
  </bookViews>
  <sheets>
    <sheet name="Stock_price" sheetId="2" r:id="rId1"/>
    <sheet name="Task 1 GRAPH student " sheetId="26" r:id="rId2"/>
    <sheet name="Task 2 Mean,Stdev Student" sheetId="29" r:id="rId3"/>
    <sheet name="Task 3 Sharpe Ratio Student" sheetId="31" r:id="rId4"/>
    <sheet name="Task 4 Cov,Corr Student" sheetId="33" r:id="rId5"/>
    <sheet name="Task 5 MV weights Student" sheetId="35" r:id="rId6"/>
    <sheet name="Task 6 CAL Student" sheetId="37" r:id="rId7"/>
    <sheet name="Task 7 Alpha, Beta Student" sheetId="39" r:id="rId8"/>
    <sheet name="Task 7_Optimal" sheetId="41" r:id="rId9"/>
    <sheet name="Task 7_XOM" sheetId="42" r:id="rId10"/>
    <sheet name="Task 7_JNJ" sheetId="43" r:id="rId11"/>
    <sheet name="Task 7_AMD" sheetId="44" r:id="rId12"/>
  </sheets>
  <definedNames>
    <definedName name="solver_adj" localSheetId="5" hidden="1">'Task 5 MV weights Student'!$B$6:$D$6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'Task 5 MV weights Student'!$E$6</definedName>
    <definedName name="solver_lhs2" localSheetId="5" hidden="1">'Task 5 MV weights Student'!$E$6</definedName>
    <definedName name="solver_lhs3" localSheetId="5" hidden="1">'Task 5 MV weights Student'!$C$17</definedName>
    <definedName name="solver_lhs4" localSheetId="5" hidden="1">'Task 5 MV weights Student'!$C$17</definedName>
    <definedName name="solver_lhs5" localSheetId="5" hidden="1">'Task 5 MV weights Student'!$D$17</definedName>
    <definedName name="solver_lhs6" localSheetId="5" hidden="1">'Task 5 MV weights Student'!$D$17</definedName>
    <definedName name="solver_lhs7" localSheetId="5" hidden="1">'Task 5 MV weights Student'!$E$17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2</definedName>
    <definedName name="solver_nod" localSheetId="5" hidden="1">2147483647</definedName>
    <definedName name="solver_num" localSheetId="5" hidden="1">1</definedName>
    <definedName name="solver_nwt" localSheetId="5" hidden="1">1</definedName>
    <definedName name="solver_opt" localSheetId="5" hidden="1">'Task 5 MV weights Student'!$C$11</definedName>
    <definedName name="solver_pre" localSheetId="5" hidden="1">0.000001</definedName>
    <definedName name="solver_rbv" localSheetId="5" hidden="1">1</definedName>
    <definedName name="solver_rel1" localSheetId="5" hidden="1">2</definedName>
    <definedName name="solver_rel2" localSheetId="5" hidden="1">2</definedName>
    <definedName name="solver_rel3" localSheetId="5" hidden="1">1</definedName>
    <definedName name="solver_rel4" localSheetId="5" hidden="1">3</definedName>
    <definedName name="solver_rel5" localSheetId="5" hidden="1">1</definedName>
    <definedName name="solver_rel6" localSheetId="5" hidden="1">3</definedName>
    <definedName name="solver_rel7" localSheetId="5" hidden="1">2</definedName>
    <definedName name="solver_rhs1" localSheetId="5" hidden="1">1</definedName>
    <definedName name="solver_rhs2" localSheetId="5" hidden="1">1</definedName>
    <definedName name="solver_rhs3" localSheetId="5" hidden="1">1</definedName>
    <definedName name="solver_rhs4" localSheetId="5" hidden="1">0</definedName>
    <definedName name="solver_rhs5" localSheetId="5" hidden="1">1</definedName>
    <definedName name="solver_rhs6" localSheetId="5" hidden="1">0</definedName>
    <definedName name="solver_rhs7" localSheetId="5" hidden="1">1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9" l="1"/>
  <c r="C19" i="35" l="1"/>
  <c r="C8" i="35"/>
  <c r="D53" i="26"/>
  <c r="C53" i="26"/>
  <c r="B53" i="26"/>
  <c r="E41" i="37" l="1"/>
  <c r="E24" i="37"/>
  <c r="H6" i="29" l="1" a="1"/>
  <c r="H6" i="29" s="1"/>
  <c r="P8" i="39"/>
  <c r="Q8" i="39"/>
  <c r="R8" i="39"/>
  <c r="P9" i="39"/>
  <c r="Q9" i="39"/>
  <c r="R9" i="39"/>
  <c r="P10" i="39"/>
  <c r="Q10" i="39"/>
  <c r="R10" i="39"/>
  <c r="P11" i="39"/>
  <c r="Q11" i="39"/>
  <c r="R11" i="39"/>
  <c r="P12" i="39"/>
  <c r="Q12" i="39"/>
  <c r="R12" i="39"/>
  <c r="P13" i="39"/>
  <c r="Q13" i="39"/>
  <c r="R13" i="39"/>
  <c r="P14" i="39"/>
  <c r="Q14" i="39"/>
  <c r="R14" i="39"/>
  <c r="P15" i="39"/>
  <c r="Q15" i="39"/>
  <c r="R15" i="39"/>
  <c r="P16" i="39"/>
  <c r="Q16" i="39"/>
  <c r="R16" i="39"/>
  <c r="P17" i="39"/>
  <c r="Q17" i="39"/>
  <c r="R17" i="39"/>
  <c r="P18" i="39"/>
  <c r="Q18" i="39"/>
  <c r="R18" i="39"/>
  <c r="P19" i="39"/>
  <c r="Q19" i="39"/>
  <c r="R19" i="39"/>
  <c r="P20" i="39"/>
  <c r="Q20" i="39"/>
  <c r="R20" i="39"/>
  <c r="P21" i="39"/>
  <c r="Q21" i="39"/>
  <c r="R21" i="39"/>
  <c r="P22" i="39"/>
  <c r="Q22" i="39"/>
  <c r="R22" i="39"/>
  <c r="P23" i="39"/>
  <c r="Q23" i="39"/>
  <c r="R23" i="39"/>
  <c r="P24" i="39"/>
  <c r="Q24" i="39"/>
  <c r="R24" i="39"/>
  <c r="P25" i="39"/>
  <c r="Q25" i="39"/>
  <c r="R25" i="39"/>
  <c r="P26" i="39"/>
  <c r="Q26" i="39"/>
  <c r="R26" i="39"/>
  <c r="P27" i="39"/>
  <c r="Q27" i="39"/>
  <c r="R27" i="39"/>
  <c r="P28" i="39"/>
  <c r="Q28" i="39"/>
  <c r="R28" i="39"/>
  <c r="P29" i="39"/>
  <c r="Q29" i="39"/>
  <c r="R29" i="39"/>
  <c r="P30" i="39"/>
  <c r="Q30" i="39"/>
  <c r="R30" i="39"/>
  <c r="P31" i="39"/>
  <c r="Q31" i="39"/>
  <c r="R31" i="39"/>
  <c r="P32" i="39"/>
  <c r="Q32" i="39"/>
  <c r="R32" i="39"/>
  <c r="P33" i="39"/>
  <c r="Q33" i="39"/>
  <c r="R33" i="39"/>
  <c r="P34" i="39"/>
  <c r="Q34" i="39"/>
  <c r="R34" i="39"/>
  <c r="P35" i="39"/>
  <c r="Q35" i="39"/>
  <c r="R35" i="39"/>
  <c r="P36" i="39"/>
  <c r="Q36" i="39"/>
  <c r="R36" i="39"/>
  <c r="P37" i="39"/>
  <c r="Q37" i="39"/>
  <c r="R37" i="39"/>
  <c r="P38" i="39"/>
  <c r="Q38" i="39"/>
  <c r="R38" i="39"/>
  <c r="P39" i="39"/>
  <c r="Q39" i="39"/>
  <c r="R39" i="39"/>
  <c r="P40" i="39"/>
  <c r="Q40" i="39"/>
  <c r="R40" i="39"/>
  <c r="P41" i="39"/>
  <c r="Q41" i="39"/>
  <c r="R41" i="39"/>
  <c r="P42" i="39"/>
  <c r="Q42" i="39"/>
  <c r="R42" i="39"/>
  <c r="P43" i="39"/>
  <c r="Q43" i="39"/>
  <c r="R43" i="39"/>
  <c r="P44" i="39"/>
  <c r="Q44" i="39"/>
  <c r="R44" i="39"/>
  <c r="P45" i="39"/>
  <c r="Q45" i="39"/>
  <c r="R45" i="39"/>
  <c r="P46" i="39"/>
  <c r="Q46" i="39"/>
  <c r="R46" i="39"/>
  <c r="P47" i="39"/>
  <c r="Q47" i="39"/>
  <c r="R47" i="39"/>
  <c r="P48" i="39"/>
  <c r="Q48" i="39"/>
  <c r="R48" i="39"/>
  <c r="P49" i="39"/>
  <c r="Q49" i="39"/>
  <c r="R49" i="39"/>
  <c r="P50" i="39"/>
  <c r="Q50" i="39"/>
  <c r="R50" i="39"/>
  <c r="P51" i="39"/>
  <c r="Q51" i="39"/>
  <c r="R51" i="39"/>
  <c r="P52" i="39"/>
  <c r="Q52" i="39"/>
  <c r="R52" i="39"/>
  <c r="P53" i="39"/>
  <c r="Q53" i="39"/>
  <c r="R53" i="39"/>
  <c r="P54" i="39"/>
  <c r="Q54" i="39"/>
  <c r="R54" i="39"/>
  <c r="P55" i="39"/>
  <c r="Q55" i="39"/>
  <c r="R55" i="39"/>
  <c r="P56" i="39"/>
  <c r="Q56" i="39"/>
  <c r="R56" i="39"/>
  <c r="P57" i="39"/>
  <c r="Q57" i="39"/>
  <c r="R57" i="39"/>
  <c r="P58" i="39"/>
  <c r="Q58" i="39"/>
  <c r="R58" i="39"/>
  <c r="P59" i="39"/>
  <c r="Q59" i="39"/>
  <c r="R59" i="39"/>
  <c r="P60" i="39"/>
  <c r="Q60" i="39"/>
  <c r="R60" i="39"/>
  <c r="P61" i="39"/>
  <c r="Q61" i="39"/>
  <c r="R61" i="39"/>
  <c r="P62" i="39"/>
  <c r="Q62" i="39"/>
  <c r="R62" i="39"/>
  <c r="P63" i="39"/>
  <c r="Q63" i="39"/>
  <c r="R63" i="39"/>
  <c r="P64" i="39"/>
  <c r="Q64" i="39"/>
  <c r="R64" i="39"/>
  <c r="P65" i="39"/>
  <c r="Q65" i="39"/>
  <c r="R65" i="39"/>
  <c r="P66" i="39"/>
  <c r="Q66" i="39"/>
  <c r="R66" i="39"/>
  <c r="P67" i="39"/>
  <c r="Q67" i="39"/>
  <c r="R67" i="39"/>
  <c r="P68" i="39"/>
  <c r="Q68" i="39"/>
  <c r="R68" i="39"/>
  <c r="P69" i="39"/>
  <c r="Q69" i="39"/>
  <c r="R69" i="39"/>
  <c r="P70" i="39"/>
  <c r="Q70" i="39"/>
  <c r="R70" i="39"/>
  <c r="P71" i="39"/>
  <c r="Q71" i="39"/>
  <c r="R71" i="39"/>
  <c r="P72" i="39"/>
  <c r="Q72" i="39"/>
  <c r="R72" i="39"/>
  <c r="P73" i="39"/>
  <c r="Q73" i="39"/>
  <c r="R73" i="39"/>
  <c r="P74" i="39"/>
  <c r="Q74" i="39"/>
  <c r="R74" i="39"/>
  <c r="P75" i="39"/>
  <c r="Q75" i="39"/>
  <c r="R75" i="39"/>
  <c r="P76" i="39"/>
  <c r="Q76" i="39"/>
  <c r="R76" i="39"/>
  <c r="P77" i="39"/>
  <c r="Q77" i="39"/>
  <c r="R77" i="39"/>
  <c r="P78" i="39"/>
  <c r="Q78" i="39"/>
  <c r="R78" i="39"/>
  <c r="P79" i="39"/>
  <c r="Q79" i="39"/>
  <c r="R79" i="39"/>
  <c r="P80" i="39"/>
  <c r="Q80" i="39"/>
  <c r="R80" i="39"/>
  <c r="P81" i="39"/>
  <c r="Q81" i="39"/>
  <c r="R81" i="39"/>
  <c r="P82" i="39"/>
  <c r="Q82" i="39"/>
  <c r="R82" i="39"/>
  <c r="P83" i="39"/>
  <c r="Q83" i="39"/>
  <c r="R83" i="39"/>
  <c r="P84" i="39"/>
  <c r="Q84" i="39"/>
  <c r="R84" i="39"/>
  <c r="P85" i="39"/>
  <c r="Q85" i="39"/>
  <c r="R85" i="39"/>
  <c r="P86" i="39"/>
  <c r="Q86" i="39"/>
  <c r="R86" i="39"/>
  <c r="P87" i="39"/>
  <c r="Q87" i="39"/>
  <c r="R87" i="39"/>
  <c r="P88" i="39"/>
  <c r="Q88" i="39"/>
  <c r="R88" i="39"/>
  <c r="P89" i="39"/>
  <c r="Q89" i="39"/>
  <c r="R89" i="39"/>
  <c r="P90" i="39"/>
  <c r="Q90" i="39"/>
  <c r="R90" i="39"/>
  <c r="P91" i="39"/>
  <c r="Q91" i="39"/>
  <c r="R91" i="39"/>
  <c r="P92" i="39"/>
  <c r="Q92" i="39"/>
  <c r="R92" i="39"/>
  <c r="P93" i="39"/>
  <c r="Q93" i="39"/>
  <c r="R93" i="39"/>
  <c r="P94" i="39"/>
  <c r="Q94" i="39"/>
  <c r="R94" i="39"/>
  <c r="P95" i="39"/>
  <c r="Q95" i="39"/>
  <c r="R95" i="39"/>
  <c r="P96" i="39"/>
  <c r="Q96" i="39"/>
  <c r="R96" i="39"/>
  <c r="P97" i="39"/>
  <c r="Q97" i="39"/>
  <c r="R97" i="39"/>
  <c r="P98" i="39"/>
  <c r="Q98" i="39"/>
  <c r="R98" i="39"/>
  <c r="P99" i="39"/>
  <c r="Q99" i="39"/>
  <c r="R99" i="39"/>
  <c r="P100" i="39"/>
  <c r="Q100" i="39"/>
  <c r="R100" i="39"/>
  <c r="P101" i="39"/>
  <c r="Q101" i="39"/>
  <c r="R101" i="39"/>
  <c r="P102" i="39"/>
  <c r="Q102" i="39"/>
  <c r="R102" i="39"/>
  <c r="P103" i="39"/>
  <c r="Q103" i="39"/>
  <c r="R103" i="39"/>
  <c r="P104" i="39"/>
  <c r="Q104" i="39"/>
  <c r="R104" i="39"/>
  <c r="P105" i="39"/>
  <c r="Q105" i="39"/>
  <c r="R105" i="39"/>
  <c r="P106" i="39"/>
  <c r="Q106" i="39"/>
  <c r="R106" i="39"/>
  <c r="P107" i="39"/>
  <c r="Q107" i="39"/>
  <c r="R107" i="39"/>
  <c r="P108" i="39"/>
  <c r="Q108" i="39"/>
  <c r="R108" i="39"/>
  <c r="P109" i="39"/>
  <c r="Q109" i="39"/>
  <c r="R109" i="39"/>
  <c r="P110" i="39"/>
  <c r="Q110" i="39"/>
  <c r="R110" i="39"/>
  <c r="P111" i="39"/>
  <c r="Q111" i="39"/>
  <c r="R111" i="39"/>
  <c r="P112" i="39"/>
  <c r="Q112" i="39"/>
  <c r="R112" i="39"/>
  <c r="P113" i="39"/>
  <c r="Q113" i="39"/>
  <c r="R113" i="39"/>
  <c r="P114" i="39"/>
  <c r="Q114" i="39"/>
  <c r="R114" i="39"/>
  <c r="P115" i="39"/>
  <c r="Q115" i="39"/>
  <c r="R115" i="39"/>
  <c r="P116" i="39"/>
  <c r="Q116" i="39"/>
  <c r="R116" i="39"/>
  <c r="P117" i="39"/>
  <c r="Q117" i="39"/>
  <c r="R117" i="39"/>
  <c r="P118" i="39"/>
  <c r="Q118" i="39"/>
  <c r="R118" i="39"/>
  <c r="P119" i="39"/>
  <c r="Q119" i="39"/>
  <c r="R119" i="39"/>
  <c r="P120" i="39"/>
  <c r="Q120" i="39"/>
  <c r="R120" i="39"/>
  <c r="P121" i="39"/>
  <c r="Q121" i="39"/>
  <c r="R121" i="39"/>
  <c r="P122" i="39"/>
  <c r="Q122" i="39"/>
  <c r="R122" i="39"/>
  <c r="P123" i="39"/>
  <c r="Q123" i="39"/>
  <c r="R123" i="39"/>
  <c r="P124" i="39"/>
  <c r="Q124" i="39"/>
  <c r="R124" i="39"/>
  <c r="P125" i="39"/>
  <c r="Q125" i="39"/>
  <c r="R125" i="39"/>
  <c r="P126" i="39"/>
  <c r="Q126" i="39"/>
  <c r="R126" i="39"/>
  <c r="P127" i="39"/>
  <c r="Q127" i="39"/>
  <c r="R127" i="39"/>
  <c r="P128" i="39"/>
  <c r="Q128" i="39"/>
  <c r="R128" i="39"/>
  <c r="P129" i="39"/>
  <c r="Q129" i="39"/>
  <c r="R129" i="39"/>
  <c r="P130" i="39"/>
  <c r="Q130" i="39"/>
  <c r="R130" i="39"/>
  <c r="P131" i="39"/>
  <c r="Q131" i="39"/>
  <c r="R131" i="39"/>
  <c r="P132" i="39"/>
  <c r="Q132" i="39"/>
  <c r="R132" i="39"/>
  <c r="P133" i="39"/>
  <c r="Q133" i="39"/>
  <c r="R133" i="39"/>
  <c r="P134" i="39"/>
  <c r="Q134" i="39"/>
  <c r="R134" i="39"/>
  <c r="P135" i="39"/>
  <c r="Q135" i="39"/>
  <c r="R135" i="39"/>
  <c r="P136" i="39"/>
  <c r="Q136" i="39"/>
  <c r="R136" i="39"/>
  <c r="P137" i="39"/>
  <c r="Q137" i="39"/>
  <c r="R137" i="39"/>
  <c r="P138" i="39"/>
  <c r="Q138" i="39"/>
  <c r="R138" i="39"/>
  <c r="P139" i="39"/>
  <c r="Q139" i="39"/>
  <c r="R139" i="39"/>
  <c r="P140" i="39"/>
  <c r="Q140" i="39"/>
  <c r="R140" i="39"/>
  <c r="P141" i="39"/>
  <c r="Q141" i="39"/>
  <c r="R141" i="39"/>
  <c r="P142" i="39"/>
  <c r="Q142" i="39"/>
  <c r="R142" i="39"/>
  <c r="P143" i="39"/>
  <c r="Q143" i="39"/>
  <c r="R143" i="39"/>
  <c r="P144" i="39"/>
  <c r="Q144" i="39"/>
  <c r="R144" i="39"/>
  <c r="P145" i="39"/>
  <c r="Q145" i="39"/>
  <c r="R145" i="39"/>
  <c r="P146" i="39"/>
  <c r="Q146" i="39"/>
  <c r="R146" i="39"/>
  <c r="P147" i="39"/>
  <c r="Q147" i="39"/>
  <c r="R147" i="39"/>
  <c r="P148" i="39"/>
  <c r="Q148" i="39"/>
  <c r="R148" i="39"/>
  <c r="P149" i="39"/>
  <c r="Q149" i="39"/>
  <c r="R149" i="39"/>
  <c r="P150" i="39"/>
  <c r="Q150" i="39"/>
  <c r="R150" i="39"/>
  <c r="P151" i="39"/>
  <c r="Q151" i="39"/>
  <c r="R151" i="39"/>
  <c r="P152" i="39"/>
  <c r="Q152" i="39"/>
  <c r="R152" i="39"/>
  <c r="P153" i="39"/>
  <c r="Q153" i="39"/>
  <c r="R153" i="39"/>
  <c r="P154" i="39"/>
  <c r="Q154" i="39"/>
  <c r="R154" i="39"/>
  <c r="P155" i="39"/>
  <c r="Q155" i="39"/>
  <c r="R155" i="39"/>
  <c r="P156" i="39"/>
  <c r="Q156" i="39"/>
  <c r="R156" i="39"/>
  <c r="P157" i="39"/>
  <c r="Q157" i="39"/>
  <c r="R157" i="39"/>
  <c r="P158" i="39"/>
  <c r="Q158" i="39"/>
  <c r="R158" i="39"/>
  <c r="P159" i="39"/>
  <c r="Q159" i="39"/>
  <c r="R159" i="39"/>
  <c r="P160" i="39"/>
  <c r="Q160" i="39"/>
  <c r="R160" i="39"/>
  <c r="P161" i="39"/>
  <c r="Q161" i="39"/>
  <c r="R161" i="39"/>
  <c r="P162" i="39"/>
  <c r="Q162" i="39"/>
  <c r="R162" i="39"/>
  <c r="P163" i="39"/>
  <c r="Q163" i="39"/>
  <c r="R163" i="39"/>
  <c r="P164" i="39"/>
  <c r="Q164" i="39"/>
  <c r="R164" i="39"/>
  <c r="P165" i="39"/>
  <c r="Q165" i="39"/>
  <c r="R165" i="39"/>
  <c r="P166" i="39"/>
  <c r="Q166" i="39"/>
  <c r="R166" i="39"/>
  <c r="P167" i="39"/>
  <c r="Q167" i="39"/>
  <c r="R167" i="39"/>
  <c r="P168" i="39"/>
  <c r="Q168" i="39"/>
  <c r="R168" i="39"/>
  <c r="P169" i="39"/>
  <c r="Q169" i="39"/>
  <c r="R169" i="39"/>
  <c r="P170" i="39"/>
  <c r="Q170" i="39"/>
  <c r="R170" i="39"/>
  <c r="P171" i="39"/>
  <c r="Q171" i="39"/>
  <c r="R171" i="39"/>
  <c r="P172" i="39"/>
  <c r="Q172" i="39"/>
  <c r="R172" i="39"/>
  <c r="P173" i="39"/>
  <c r="Q173" i="39"/>
  <c r="R173" i="39"/>
  <c r="P174" i="39"/>
  <c r="Q174" i="39"/>
  <c r="R174" i="39"/>
  <c r="P175" i="39"/>
  <c r="Q175" i="39"/>
  <c r="R175" i="39"/>
  <c r="P176" i="39"/>
  <c r="Q176" i="39"/>
  <c r="R176" i="39"/>
  <c r="P177" i="39"/>
  <c r="Q177" i="39"/>
  <c r="R177" i="39"/>
  <c r="P178" i="39"/>
  <c r="Q178" i="39"/>
  <c r="R178" i="39"/>
  <c r="P179" i="39"/>
  <c r="Q179" i="39"/>
  <c r="R179" i="39"/>
  <c r="P180" i="39"/>
  <c r="Q180" i="39"/>
  <c r="R180" i="39"/>
  <c r="P181" i="39"/>
  <c r="Q181" i="39"/>
  <c r="R181" i="39"/>
  <c r="P182" i="39"/>
  <c r="Q182" i="39"/>
  <c r="R182" i="39"/>
  <c r="P183" i="39"/>
  <c r="Q183" i="39"/>
  <c r="R183" i="39"/>
  <c r="P184" i="39"/>
  <c r="Q184" i="39"/>
  <c r="R184" i="39"/>
  <c r="P185" i="39"/>
  <c r="Q185" i="39"/>
  <c r="R185" i="39"/>
  <c r="P186" i="39"/>
  <c r="Q186" i="39"/>
  <c r="R186" i="39"/>
  <c r="P187" i="39"/>
  <c r="Q187" i="39"/>
  <c r="R187" i="39"/>
  <c r="P188" i="39"/>
  <c r="Q188" i="39"/>
  <c r="R188" i="39"/>
  <c r="P189" i="39"/>
  <c r="Q189" i="39"/>
  <c r="R189" i="39"/>
  <c r="P190" i="39"/>
  <c r="Q190" i="39"/>
  <c r="R190" i="39"/>
  <c r="P191" i="39"/>
  <c r="Q191" i="39"/>
  <c r="R191" i="39"/>
  <c r="P192" i="39"/>
  <c r="Q192" i="39"/>
  <c r="R192" i="39"/>
  <c r="P193" i="39"/>
  <c r="Q193" i="39"/>
  <c r="R193" i="39"/>
  <c r="P194" i="39"/>
  <c r="Q194" i="39"/>
  <c r="R194" i="39"/>
  <c r="P195" i="39"/>
  <c r="Q195" i="39"/>
  <c r="R195" i="39"/>
  <c r="P196" i="39"/>
  <c r="Q196" i="39"/>
  <c r="R196" i="39"/>
  <c r="P197" i="39"/>
  <c r="Q197" i="39"/>
  <c r="R197" i="39"/>
  <c r="P198" i="39"/>
  <c r="Q198" i="39"/>
  <c r="R198" i="39"/>
  <c r="P199" i="39"/>
  <c r="Q199" i="39"/>
  <c r="R199" i="39"/>
  <c r="P200" i="39"/>
  <c r="Q200" i="39"/>
  <c r="R200" i="39"/>
  <c r="P201" i="39"/>
  <c r="Q201" i="39"/>
  <c r="R201" i="39"/>
  <c r="P202" i="39"/>
  <c r="Q202" i="39"/>
  <c r="R202" i="39"/>
  <c r="P203" i="39"/>
  <c r="Q203" i="39"/>
  <c r="R203" i="39"/>
  <c r="P204" i="39"/>
  <c r="Q204" i="39"/>
  <c r="R204" i="39"/>
  <c r="P205" i="39"/>
  <c r="Q205" i="39"/>
  <c r="R205" i="39"/>
  <c r="P206" i="39"/>
  <c r="Q206" i="39"/>
  <c r="R206" i="39"/>
  <c r="P207" i="39"/>
  <c r="Q207" i="39"/>
  <c r="R207" i="39"/>
  <c r="P208" i="39"/>
  <c r="Q208" i="39"/>
  <c r="R208" i="39"/>
  <c r="P209" i="39"/>
  <c r="Q209" i="39"/>
  <c r="R209" i="39"/>
  <c r="P210" i="39"/>
  <c r="Q210" i="39"/>
  <c r="R210" i="39"/>
  <c r="P211" i="39"/>
  <c r="Q211" i="39"/>
  <c r="R211" i="39"/>
  <c r="P212" i="39"/>
  <c r="Q212" i="39"/>
  <c r="R212" i="39"/>
  <c r="P213" i="39"/>
  <c r="Q213" i="39"/>
  <c r="R213" i="39"/>
  <c r="P214" i="39"/>
  <c r="Q214" i="39"/>
  <c r="R214" i="39"/>
  <c r="P215" i="39"/>
  <c r="Q215" i="39"/>
  <c r="R215" i="39"/>
  <c r="P216" i="39"/>
  <c r="Q216" i="39"/>
  <c r="R216" i="39"/>
  <c r="P217" i="39"/>
  <c r="Q217" i="39"/>
  <c r="R217" i="39"/>
  <c r="P218" i="39"/>
  <c r="Q218" i="39"/>
  <c r="R218" i="39"/>
  <c r="P219" i="39"/>
  <c r="Q219" i="39"/>
  <c r="R219" i="39"/>
  <c r="P220" i="39"/>
  <c r="Q220" i="39"/>
  <c r="R220" i="39"/>
  <c r="P221" i="39"/>
  <c r="Q221" i="39"/>
  <c r="R221" i="39"/>
  <c r="P222" i="39"/>
  <c r="Q222" i="39"/>
  <c r="R222" i="39"/>
  <c r="P223" i="39"/>
  <c r="Q223" i="39"/>
  <c r="R223" i="39"/>
  <c r="P224" i="39"/>
  <c r="Q224" i="39"/>
  <c r="R224" i="39"/>
  <c r="P225" i="39"/>
  <c r="Q225" i="39"/>
  <c r="R225" i="39"/>
  <c r="P226" i="39"/>
  <c r="Q226" i="39"/>
  <c r="R226" i="39"/>
  <c r="P227" i="39"/>
  <c r="Q227" i="39"/>
  <c r="R227" i="39"/>
  <c r="P228" i="39"/>
  <c r="Q228" i="39"/>
  <c r="R228" i="39"/>
  <c r="P229" i="39"/>
  <c r="Q229" i="39"/>
  <c r="R229" i="39"/>
  <c r="P230" i="39"/>
  <c r="Q230" i="39"/>
  <c r="R230" i="39"/>
  <c r="P231" i="39"/>
  <c r="Q231" i="39"/>
  <c r="R231" i="39"/>
  <c r="P232" i="39"/>
  <c r="Q232" i="39"/>
  <c r="R232" i="39"/>
  <c r="P233" i="39"/>
  <c r="Q233" i="39"/>
  <c r="R233" i="39"/>
  <c r="P234" i="39"/>
  <c r="Q234" i="39"/>
  <c r="R234" i="39"/>
  <c r="P235" i="39"/>
  <c r="Q235" i="39"/>
  <c r="R235" i="39"/>
  <c r="P236" i="39"/>
  <c r="Q236" i="39"/>
  <c r="R236" i="39"/>
  <c r="P237" i="39"/>
  <c r="Q237" i="39"/>
  <c r="R237" i="39"/>
  <c r="P238" i="39"/>
  <c r="Q238" i="39"/>
  <c r="R238" i="39"/>
  <c r="P239" i="39"/>
  <c r="Q239" i="39"/>
  <c r="R239" i="39"/>
  <c r="P240" i="39"/>
  <c r="Q240" i="39"/>
  <c r="R240" i="39"/>
  <c r="P241" i="39"/>
  <c r="Q241" i="39"/>
  <c r="R241" i="39"/>
  <c r="P242" i="39"/>
  <c r="Q242" i="39"/>
  <c r="R242" i="39"/>
  <c r="P243" i="39"/>
  <c r="Q243" i="39"/>
  <c r="R243" i="39"/>
  <c r="P244" i="39"/>
  <c r="Q244" i="39"/>
  <c r="R244" i="39"/>
  <c r="P245" i="39"/>
  <c r="Q245" i="39"/>
  <c r="R245" i="39"/>
  <c r="P246" i="39"/>
  <c r="Q246" i="39"/>
  <c r="R246" i="39"/>
  <c r="Q7" i="39"/>
  <c r="R7" i="39"/>
  <c r="P7" i="39"/>
  <c r="Z8" i="39"/>
  <c r="Z9" i="39"/>
  <c r="Z10" i="39"/>
  <c r="Z11" i="39"/>
  <c r="Z12" i="39"/>
  <c r="Z13" i="39"/>
  <c r="Z14" i="39"/>
  <c r="Z15" i="39"/>
  <c r="Z16" i="39"/>
  <c r="Z17" i="39"/>
  <c r="Z18" i="39"/>
  <c r="Z19" i="39"/>
  <c r="Z20" i="39"/>
  <c r="Z21" i="39"/>
  <c r="Z22" i="39"/>
  <c r="Z23" i="39"/>
  <c r="Z24" i="39"/>
  <c r="Z25" i="39"/>
  <c r="Z26" i="39"/>
  <c r="Z27" i="39"/>
  <c r="Z28" i="39"/>
  <c r="Z29" i="39"/>
  <c r="Z30" i="39"/>
  <c r="Z31" i="39"/>
  <c r="Z32" i="39"/>
  <c r="Z33" i="39"/>
  <c r="Z34" i="39"/>
  <c r="Z35" i="39"/>
  <c r="Z36" i="39"/>
  <c r="Z37" i="39"/>
  <c r="Z38" i="39"/>
  <c r="Z39" i="39"/>
  <c r="Z40" i="39"/>
  <c r="Z41" i="39"/>
  <c r="Z42" i="39"/>
  <c r="Z43" i="39"/>
  <c r="Z44" i="39"/>
  <c r="Z45" i="39"/>
  <c r="Z46" i="39"/>
  <c r="Z47" i="39"/>
  <c r="Z48" i="39"/>
  <c r="Z49" i="39"/>
  <c r="Z50" i="39"/>
  <c r="Z51" i="39"/>
  <c r="Z52" i="39"/>
  <c r="Z53" i="39"/>
  <c r="Z54" i="39"/>
  <c r="Z55" i="39"/>
  <c r="Z56" i="39"/>
  <c r="Z57" i="39"/>
  <c r="Z58" i="39"/>
  <c r="Z59" i="39"/>
  <c r="Z60" i="39"/>
  <c r="Z61" i="39"/>
  <c r="Z62" i="39"/>
  <c r="Z63" i="39"/>
  <c r="Z64" i="39"/>
  <c r="Z65" i="39"/>
  <c r="Z66" i="39"/>
  <c r="Z67" i="39"/>
  <c r="Z68" i="39"/>
  <c r="Z69" i="39"/>
  <c r="Z70" i="39"/>
  <c r="Z71" i="39"/>
  <c r="Z72" i="39"/>
  <c r="Z73" i="39"/>
  <c r="Z74" i="39"/>
  <c r="Z75" i="39"/>
  <c r="Z76" i="39"/>
  <c r="Z77" i="39"/>
  <c r="Z78" i="39"/>
  <c r="Z79" i="39"/>
  <c r="Z80" i="39"/>
  <c r="Z81" i="39"/>
  <c r="Z82" i="39"/>
  <c r="Z83" i="39"/>
  <c r="Z84" i="39"/>
  <c r="Z85" i="39"/>
  <c r="Z86" i="39"/>
  <c r="Z87" i="39"/>
  <c r="Z88" i="39"/>
  <c r="Z89" i="39"/>
  <c r="Z90" i="39"/>
  <c r="Z91" i="39"/>
  <c r="Z92" i="39"/>
  <c r="Z93" i="39"/>
  <c r="Z94" i="39"/>
  <c r="Z95" i="39"/>
  <c r="Z96" i="39"/>
  <c r="Z97" i="39"/>
  <c r="Z98" i="39"/>
  <c r="Z99" i="39"/>
  <c r="Z100" i="39"/>
  <c r="Z101" i="39"/>
  <c r="Z102" i="39"/>
  <c r="Z103" i="39"/>
  <c r="Z104" i="39"/>
  <c r="Z105" i="39"/>
  <c r="Z106" i="39"/>
  <c r="Z107" i="39"/>
  <c r="Z108" i="39"/>
  <c r="Z109" i="39"/>
  <c r="Z110" i="39"/>
  <c r="Z111" i="39"/>
  <c r="Z112" i="39"/>
  <c r="Z113" i="39"/>
  <c r="Z114" i="39"/>
  <c r="Z115" i="39"/>
  <c r="Z116" i="39"/>
  <c r="Z117" i="39"/>
  <c r="Z118" i="39"/>
  <c r="Z119" i="39"/>
  <c r="Z120" i="39"/>
  <c r="Z121" i="39"/>
  <c r="Z122" i="39"/>
  <c r="Z123" i="39"/>
  <c r="Z124" i="39"/>
  <c r="Z125" i="39"/>
  <c r="Z126" i="39"/>
  <c r="Z127" i="39"/>
  <c r="Z128" i="39"/>
  <c r="Z129" i="39"/>
  <c r="Z130" i="39"/>
  <c r="Z131" i="39"/>
  <c r="Z132" i="39"/>
  <c r="Z133" i="39"/>
  <c r="Z134" i="39"/>
  <c r="Z135" i="39"/>
  <c r="Z136" i="39"/>
  <c r="Z137" i="39"/>
  <c r="Z138" i="39"/>
  <c r="Z139" i="39"/>
  <c r="Z140" i="39"/>
  <c r="Z141" i="39"/>
  <c r="Z142" i="39"/>
  <c r="Z143" i="39"/>
  <c r="Z144" i="39"/>
  <c r="Z145" i="39"/>
  <c r="Z146" i="39"/>
  <c r="Z147" i="39"/>
  <c r="Z148" i="39"/>
  <c r="Z149" i="39"/>
  <c r="Z150" i="39"/>
  <c r="Z151" i="39"/>
  <c r="Z152" i="39"/>
  <c r="Z153" i="39"/>
  <c r="Z154" i="39"/>
  <c r="Z155" i="39"/>
  <c r="Z156" i="39"/>
  <c r="Z157" i="39"/>
  <c r="Z158" i="39"/>
  <c r="Z159" i="39"/>
  <c r="Z160" i="39"/>
  <c r="Z161" i="39"/>
  <c r="Z162" i="39"/>
  <c r="Z163" i="39"/>
  <c r="Z164" i="39"/>
  <c r="Z165" i="39"/>
  <c r="Z166" i="39"/>
  <c r="Z167" i="39"/>
  <c r="Z168" i="39"/>
  <c r="Z169" i="39"/>
  <c r="Z170" i="39"/>
  <c r="Z171" i="39"/>
  <c r="Z172" i="39"/>
  <c r="Z173" i="39"/>
  <c r="Z174" i="39"/>
  <c r="Z175" i="39"/>
  <c r="Z176" i="39"/>
  <c r="Z177" i="39"/>
  <c r="Z178" i="39"/>
  <c r="Z179" i="39"/>
  <c r="Z180" i="39"/>
  <c r="Z181" i="39"/>
  <c r="Z182" i="39"/>
  <c r="Z183" i="39"/>
  <c r="Z184" i="39"/>
  <c r="Z185" i="39"/>
  <c r="Z186" i="39"/>
  <c r="Z187" i="39"/>
  <c r="Z188" i="39"/>
  <c r="Z189" i="39"/>
  <c r="Z190" i="39"/>
  <c r="Z191" i="39"/>
  <c r="Z192" i="39"/>
  <c r="Z193" i="39"/>
  <c r="Z194" i="39"/>
  <c r="Z195" i="39"/>
  <c r="Z196" i="39"/>
  <c r="Z197" i="39"/>
  <c r="Z198" i="39"/>
  <c r="Z199" i="39"/>
  <c r="Z200" i="39"/>
  <c r="Z201" i="39"/>
  <c r="Z202" i="39"/>
  <c r="Z203" i="39"/>
  <c r="Z204" i="39"/>
  <c r="Z205" i="39"/>
  <c r="Z206" i="39"/>
  <c r="Z207" i="39"/>
  <c r="Z208" i="39"/>
  <c r="Z209" i="39"/>
  <c r="Z210" i="39"/>
  <c r="Z211" i="39"/>
  <c r="Z212" i="39"/>
  <c r="Z213" i="39"/>
  <c r="Z214" i="39"/>
  <c r="Z215" i="39"/>
  <c r="Z216" i="39"/>
  <c r="Z217" i="39"/>
  <c r="Z218" i="39"/>
  <c r="Z219" i="39"/>
  <c r="Z220" i="39"/>
  <c r="Z221" i="39"/>
  <c r="Z222" i="39"/>
  <c r="Z223" i="39"/>
  <c r="Z224" i="39"/>
  <c r="Z225" i="39"/>
  <c r="Z226" i="39"/>
  <c r="Z227" i="39"/>
  <c r="Z228" i="39"/>
  <c r="Z229" i="39"/>
  <c r="Z230" i="39"/>
  <c r="Z231" i="39"/>
  <c r="Z232" i="39"/>
  <c r="Z233" i="39"/>
  <c r="Z234" i="39"/>
  <c r="Z235" i="39"/>
  <c r="Z236" i="39"/>
  <c r="Z237" i="39"/>
  <c r="Z238" i="39"/>
  <c r="Z239" i="39"/>
  <c r="Z240" i="39"/>
  <c r="Z241" i="39"/>
  <c r="Z242" i="39"/>
  <c r="Z243" i="39"/>
  <c r="Z244" i="39"/>
  <c r="Z245" i="39"/>
  <c r="Z246" i="39"/>
  <c r="Z7" i="39"/>
  <c r="V135" i="39"/>
  <c r="V136" i="39"/>
  <c r="V205" i="39"/>
  <c r="V243" i="39"/>
  <c r="V245" i="39"/>
  <c r="V246" i="39"/>
  <c r="T8" i="39"/>
  <c r="V8" i="39" s="1"/>
  <c r="T9" i="39"/>
  <c r="V9" i="39" s="1"/>
  <c r="T10" i="39"/>
  <c r="V10" i="39" s="1"/>
  <c r="T11" i="39"/>
  <c r="V11" i="39" s="1"/>
  <c r="T12" i="39"/>
  <c r="V12" i="39" s="1"/>
  <c r="T13" i="39"/>
  <c r="V13" i="39" s="1"/>
  <c r="T14" i="39"/>
  <c r="V14" i="39" s="1"/>
  <c r="T15" i="39"/>
  <c r="V15" i="39" s="1"/>
  <c r="T16" i="39"/>
  <c r="V16" i="39" s="1"/>
  <c r="T17" i="39"/>
  <c r="V17" i="39" s="1"/>
  <c r="T18" i="39"/>
  <c r="V18" i="39" s="1"/>
  <c r="T19" i="39"/>
  <c r="V19" i="39" s="1"/>
  <c r="T20" i="39"/>
  <c r="V20" i="39" s="1"/>
  <c r="T21" i="39"/>
  <c r="V21" i="39" s="1"/>
  <c r="T22" i="39"/>
  <c r="V22" i="39" s="1"/>
  <c r="T23" i="39"/>
  <c r="V23" i="39" s="1"/>
  <c r="T24" i="39"/>
  <c r="V24" i="39" s="1"/>
  <c r="T25" i="39"/>
  <c r="V25" i="39" s="1"/>
  <c r="T26" i="39"/>
  <c r="V26" i="39" s="1"/>
  <c r="T27" i="39"/>
  <c r="V27" i="39" s="1"/>
  <c r="T28" i="39"/>
  <c r="V28" i="39" s="1"/>
  <c r="T29" i="39"/>
  <c r="V29" i="39" s="1"/>
  <c r="T30" i="39"/>
  <c r="V30" i="39" s="1"/>
  <c r="T31" i="39"/>
  <c r="V31" i="39" s="1"/>
  <c r="T32" i="39"/>
  <c r="V32" i="39" s="1"/>
  <c r="T33" i="39"/>
  <c r="V33" i="39" s="1"/>
  <c r="T34" i="39"/>
  <c r="V34" i="39" s="1"/>
  <c r="T35" i="39"/>
  <c r="V35" i="39" s="1"/>
  <c r="T36" i="39"/>
  <c r="V36" i="39" s="1"/>
  <c r="T37" i="39"/>
  <c r="V37" i="39" s="1"/>
  <c r="T38" i="39"/>
  <c r="V38" i="39" s="1"/>
  <c r="T39" i="39"/>
  <c r="V39" i="39" s="1"/>
  <c r="T40" i="39"/>
  <c r="V40" i="39" s="1"/>
  <c r="T41" i="39"/>
  <c r="V41" i="39" s="1"/>
  <c r="T42" i="39"/>
  <c r="V42" i="39" s="1"/>
  <c r="T43" i="39"/>
  <c r="V43" i="39" s="1"/>
  <c r="T44" i="39"/>
  <c r="V44" i="39" s="1"/>
  <c r="T45" i="39"/>
  <c r="V45" i="39" s="1"/>
  <c r="T46" i="39"/>
  <c r="V46" i="39" s="1"/>
  <c r="T47" i="39"/>
  <c r="V47" i="39" s="1"/>
  <c r="T48" i="39"/>
  <c r="V48" i="39" s="1"/>
  <c r="T49" i="39"/>
  <c r="V49" i="39" s="1"/>
  <c r="T50" i="39"/>
  <c r="V50" i="39" s="1"/>
  <c r="T51" i="39"/>
  <c r="V51" i="39" s="1"/>
  <c r="T52" i="39"/>
  <c r="V52" i="39" s="1"/>
  <c r="T53" i="39"/>
  <c r="V53" i="39" s="1"/>
  <c r="T54" i="39"/>
  <c r="V54" i="39" s="1"/>
  <c r="T55" i="39"/>
  <c r="V55" i="39" s="1"/>
  <c r="T56" i="39"/>
  <c r="V56" i="39" s="1"/>
  <c r="T57" i="39"/>
  <c r="V57" i="39" s="1"/>
  <c r="T58" i="39"/>
  <c r="V58" i="39" s="1"/>
  <c r="T59" i="39"/>
  <c r="V59" i="39" s="1"/>
  <c r="T60" i="39"/>
  <c r="V60" i="39" s="1"/>
  <c r="T61" i="39"/>
  <c r="V61" i="39" s="1"/>
  <c r="T62" i="39"/>
  <c r="V62" i="39" s="1"/>
  <c r="T63" i="39"/>
  <c r="V63" i="39" s="1"/>
  <c r="T64" i="39"/>
  <c r="V64" i="39" s="1"/>
  <c r="T65" i="39"/>
  <c r="V65" i="39" s="1"/>
  <c r="T66" i="39"/>
  <c r="V66" i="39" s="1"/>
  <c r="T67" i="39"/>
  <c r="V67" i="39" s="1"/>
  <c r="T68" i="39"/>
  <c r="V68" i="39" s="1"/>
  <c r="T69" i="39"/>
  <c r="V69" i="39" s="1"/>
  <c r="T70" i="39"/>
  <c r="V70" i="39" s="1"/>
  <c r="T71" i="39"/>
  <c r="V71" i="39" s="1"/>
  <c r="T72" i="39"/>
  <c r="V72" i="39" s="1"/>
  <c r="T73" i="39"/>
  <c r="V73" i="39" s="1"/>
  <c r="T74" i="39"/>
  <c r="V74" i="39" s="1"/>
  <c r="T75" i="39"/>
  <c r="V75" i="39" s="1"/>
  <c r="T76" i="39"/>
  <c r="V76" i="39" s="1"/>
  <c r="T77" i="39"/>
  <c r="V77" i="39" s="1"/>
  <c r="T78" i="39"/>
  <c r="V78" i="39" s="1"/>
  <c r="T79" i="39"/>
  <c r="V79" i="39" s="1"/>
  <c r="T80" i="39"/>
  <c r="V80" i="39" s="1"/>
  <c r="T81" i="39"/>
  <c r="V81" i="39" s="1"/>
  <c r="T82" i="39"/>
  <c r="V82" i="39" s="1"/>
  <c r="T83" i="39"/>
  <c r="V83" i="39" s="1"/>
  <c r="T84" i="39"/>
  <c r="V84" i="39" s="1"/>
  <c r="T85" i="39"/>
  <c r="V85" i="39" s="1"/>
  <c r="T86" i="39"/>
  <c r="V86" i="39" s="1"/>
  <c r="T87" i="39"/>
  <c r="V87" i="39" s="1"/>
  <c r="T88" i="39"/>
  <c r="V88" i="39" s="1"/>
  <c r="T89" i="39"/>
  <c r="V89" i="39" s="1"/>
  <c r="T90" i="39"/>
  <c r="V90" i="39" s="1"/>
  <c r="T91" i="39"/>
  <c r="V91" i="39" s="1"/>
  <c r="T92" i="39"/>
  <c r="V92" i="39" s="1"/>
  <c r="T93" i="39"/>
  <c r="V93" i="39" s="1"/>
  <c r="T94" i="39"/>
  <c r="V94" i="39" s="1"/>
  <c r="T95" i="39"/>
  <c r="V95" i="39" s="1"/>
  <c r="T96" i="39"/>
  <c r="V96" i="39" s="1"/>
  <c r="T97" i="39"/>
  <c r="V97" i="39" s="1"/>
  <c r="T98" i="39"/>
  <c r="V98" i="39" s="1"/>
  <c r="T99" i="39"/>
  <c r="V99" i="39" s="1"/>
  <c r="T100" i="39"/>
  <c r="V100" i="39" s="1"/>
  <c r="T101" i="39"/>
  <c r="V101" i="39" s="1"/>
  <c r="T102" i="39"/>
  <c r="V102" i="39" s="1"/>
  <c r="T103" i="39"/>
  <c r="V103" i="39" s="1"/>
  <c r="T104" i="39"/>
  <c r="V104" i="39" s="1"/>
  <c r="T105" i="39"/>
  <c r="V105" i="39" s="1"/>
  <c r="T106" i="39"/>
  <c r="V106" i="39" s="1"/>
  <c r="T107" i="39"/>
  <c r="V107" i="39" s="1"/>
  <c r="T108" i="39"/>
  <c r="V108" i="39" s="1"/>
  <c r="T109" i="39"/>
  <c r="V109" i="39" s="1"/>
  <c r="T110" i="39"/>
  <c r="V110" i="39" s="1"/>
  <c r="T111" i="39"/>
  <c r="V111" i="39" s="1"/>
  <c r="T112" i="39"/>
  <c r="V112" i="39" s="1"/>
  <c r="T113" i="39"/>
  <c r="V113" i="39" s="1"/>
  <c r="T114" i="39"/>
  <c r="V114" i="39" s="1"/>
  <c r="T115" i="39"/>
  <c r="V115" i="39" s="1"/>
  <c r="T116" i="39"/>
  <c r="V116" i="39" s="1"/>
  <c r="T117" i="39"/>
  <c r="V117" i="39" s="1"/>
  <c r="T118" i="39"/>
  <c r="V118" i="39" s="1"/>
  <c r="T119" i="39"/>
  <c r="V119" i="39" s="1"/>
  <c r="T120" i="39"/>
  <c r="V120" i="39" s="1"/>
  <c r="T121" i="39"/>
  <c r="V121" i="39" s="1"/>
  <c r="T122" i="39"/>
  <c r="V122" i="39" s="1"/>
  <c r="T123" i="39"/>
  <c r="V123" i="39" s="1"/>
  <c r="T124" i="39"/>
  <c r="V124" i="39" s="1"/>
  <c r="T125" i="39"/>
  <c r="V125" i="39" s="1"/>
  <c r="T126" i="39"/>
  <c r="V126" i="39" s="1"/>
  <c r="T127" i="39"/>
  <c r="V127" i="39" s="1"/>
  <c r="T128" i="39"/>
  <c r="V128" i="39" s="1"/>
  <c r="T129" i="39"/>
  <c r="V129" i="39" s="1"/>
  <c r="T130" i="39"/>
  <c r="V130" i="39" s="1"/>
  <c r="T131" i="39"/>
  <c r="V131" i="39" s="1"/>
  <c r="T132" i="39"/>
  <c r="V132" i="39" s="1"/>
  <c r="T133" i="39"/>
  <c r="V133" i="39" s="1"/>
  <c r="T134" i="39"/>
  <c r="V134" i="39" s="1"/>
  <c r="T135" i="39"/>
  <c r="T136" i="39"/>
  <c r="T137" i="39"/>
  <c r="V137" i="39" s="1"/>
  <c r="T138" i="39"/>
  <c r="V138" i="39" s="1"/>
  <c r="T139" i="39"/>
  <c r="V139" i="39" s="1"/>
  <c r="T140" i="39"/>
  <c r="V140" i="39" s="1"/>
  <c r="T141" i="39"/>
  <c r="V141" i="39" s="1"/>
  <c r="T142" i="39"/>
  <c r="V142" i="39" s="1"/>
  <c r="T143" i="39"/>
  <c r="V143" i="39" s="1"/>
  <c r="T144" i="39"/>
  <c r="V144" i="39" s="1"/>
  <c r="T145" i="39"/>
  <c r="V145" i="39" s="1"/>
  <c r="T146" i="39"/>
  <c r="V146" i="39" s="1"/>
  <c r="T147" i="39"/>
  <c r="V147" i="39" s="1"/>
  <c r="T148" i="39"/>
  <c r="V148" i="39" s="1"/>
  <c r="T149" i="39"/>
  <c r="V149" i="39" s="1"/>
  <c r="T150" i="39"/>
  <c r="V150" i="39" s="1"/>
  <c r="T151" i="39"/>
  <c r="V151" i="39" s="1"/>
  <c r="T152" i="39"/>
  <c r="V152" i="39" s="1"/>
  <c r="T153" i="39"/>
  <c r="V153" i="39" s="1"/>
  <c r="T154" i="39"/>
  <c r="V154" i="39" s="1"/>
  <c r="T155" i="39"/>
  <c r="V155" i="39" s="1"/>
  <c r="T156" i="39"/>
  <c r="V156" i="39" s="1"/>
  <c r="T157" i="39"/>
  <c r="V157" i="39" s="1"/>
  <c r="T158" i="39"/>
  <c r="V158" i="39" s="1"/>
  <c r="T159" i="39"/>
  <c r="V159" i="39" s="1"/>
  <c r="T160" i="39"/>
  <c r="V160" i="39" s="1"/>
  <c r="T161" i="39"/>
  <c r="V161" i="39" s="1"/>
  <c r="T162" i="39"/>
  <c r="V162" i="39" s="1"/>
  <c r="T163" i="39"/>
  <c r="V163" i="39" s="1"/>
  <c r="T164" i="39"/>
  <c r="V164" i="39" s="1"/>
  <c r="T165" i="39"/>
  <c r="V165" i="39" s="1"/>
  <c r="T166" i="39"/>
  <c r="V166" i="39" s="1"/>
  <c r="T167" i="39"/>
  <c r="V167" i="39" s="1"/>
  <c r="T168" i="39"/>
  <c r="V168" i="39" s="1"/>
  <c r="T169" i="39"/>
  <c r="V169" i="39" s="1"/>
  <c r="T170" i="39"/>
  <c r="V170" i="39" s="1"/>
  <c r="T171" i="39"/>
  <c r="V171" i="39" s="1"/>
  <c r="T172" i="39"/>
  <c r="V172" i="39" s="1"/>
  <c r="T173" i="39"/>
  <c r="V173" i="39" s="1"/>
  <c r="T174" i="39"/>
  <c r="V174" i="39" s="1"/>
  <c r="T175" i="39"/>
  <c r="V175" i="39" s="1"/>
  <c r="T176" i="39"/>
  <c r="V176" i="39" s="1"/>
  <c r="T177" i="39"/>
  <c r="V177" i="39" s="1"/>
  <c r="T178" i="39"/>
  <c r="V178" i="39" s="1"/>
  <c r="T179" i="39"/>
  <c r="V179" i="39" s="1"/>
  <c r="T180" i="39"/>
  <c r="V180" i="39" s="1"/>
  <c r="T181" i="39"/>
  <c r="V181" i="39" s="1"/>
  <c r="T182" i="39"/>
  <c r="V182" i="39" s="1"/>
  <c r="T183" i="39"/>
  <c r="V183" i="39" s="1"/>
  <c r="T184" i="39"/>
  <c r="V184" i="39" s="1"/>
  <c r="T185" i="39"/>
  <c r="V185" i="39" s="1"/>
  <c r="T186" i="39"/>
  <c r="V186" i="39" s="1"/>
  <c r="T187" i="39"/>
  <c r="V187" i="39" s="1"/>
  <c r="T188" i="39"/>
  <c r="V188" i="39" s="1"/>
  <c r="T189" i="39"/>
  <c r="V189" i="39" s="1"/>
  <c r="T190" i="39"/>
  <c r="V190" i="39" s="1"/>
  <c r="T191" i="39"/>
  <c r="V191" i="39" s="1"/>
  <c r="T192" i="39"/>
  <c r="V192" i="39" s="1"/>
  <c r="T193" i="39"/>
  <c r="V193" i="39" s="1"/>
  <c r="T194" i="39"/>
  <c r="V194" i="39" s="1"/>
  <c r="T195" i="39"/>
  <c r="V195" i="39" s="1"/>
  <c r="T196" i="39"/>
  <c r="V196" i="39" s="1"/>
  <c r="T197" i="39"/>
  <c r="V197" i="39" s="1"/>
  <c r="T198" i="39"/>
  <c r="V198" i="39" s="1"/>
  <c r="T199" i="39"/>
  <c r="V199" i="39" s="1"/>
  <c r="T200" i="39"/>
  <c r="V200" i="39" s="1"/>
  <c r="T201" i="39"/>
  <c r="V201" i="39" s="1"/>
  <c r="T202" i="39"/>
  <c r="V202" i="39" s="1"/>
  <c r="T203" i="39"/>
  <c r="V203" i="39" s="1"/>
  <c r="T204" i="39"/>
  <c r="V204" i="39" s="1"/>
  <c r="T205" i="39"/>
  <c r="T206" i="39"/>
  <c r="V206" i="39" s="1"/>
  <c r="T207" i="39"/>
  <c r="V207" i="39" s="1"/>
  <c r="T208" i="39"/>
  <c r="V208" i="39" s="1"/>
  <c r="T209" i="39"/>
  <c r="V209" i="39" s="1"/>
  <c r="T210" i="39"/>
  <c r="V210" i="39" s="1"/>
  <c r="T211" i="39"/>
  <c r="V211" i="39" s="1"/>
  <c r="T212" i="39"/>
  <c r="V212" i="39" s="1"/>
  <c r="T213" i="39"/>
  <c r="V213" i="39" s="1"/>
  <c r="T214" i="39"/>
  <c r="V214" i="39" s="1"/>
  <c r="T215" i="39"/>
  <c r="V215" i="39" s="1"/>
  <c r="T216" i="39"/>
  <c r="V216" i="39" s="1"/>
  <c r="T217" i="39"/>
  <c r="V217" i="39" s="1"/>
  <c r="T218" i="39"/>
  <c r="V218" i="39" s="1"/>
  <c r="T219" i="39"/>
  <c r="V219" i="39" s="1"/>
  <c r="T220" i="39"/>
  <c r="V220" i="39" s="1"/>
  <c r="T221" i="39"/>
  <c r="V221" i="39" s="1"/>
  <c r="T222" i="39"/>
  <c r="V222" i="39" s="1"/>
  <c r="T223" i="39"/>
  <c r="V223" i="39" s="1"/>
  <c r="T224" i="39"/>
  <c r="V224" i="39" s="1"/>
  <c r="T225" i="39"/>
  <c r="V225" i="39" s="1"/>
  <c r="T226" i="39"/>
  <c r="V226" i="39" s="1"/>
  <c r="T227" i="39"/>
  <c r="V227" i="39" s="1"/>
  <c r="T228" i="39"/>
  <c r="V228" i="39" s="1"/>
  <c r="T229" i="39"/>
  <c r="V229" i="39" s="1"/>
  <c r="T230" i="39"/>
  <c r="V230" i="39" s="1"/>
  <c r="T231" i="39"/>
  <c r="V231" i="39" s="1"/>
  <c r="T232" i="39"/>
  <c r="V232" i="39" s="1"/>
  <c r="T233" i="39"/>
  <c r="V233" i="39" s="1"/>
  <c r="T234" i="39"/>
  <c r="V234" i="39" s="1"/>
  <c r="T235" i="39"/>
  <c r="V235" i="39" s="1"/>
  <c r="T236" i="39"/>
  <c r="V236" i="39" s="1"/>
  <c r="T237" i="39"/>
  <c r="V237" i="39" s="1"/>
  <c r="T238" i="39"/>
  <c r="V238" i="39" s="1"/>
  <c r="T239" i="39"/>
  <c r="V239" i="39" s="1"/>
  <c r="T240" i="39"/>
  <c r="V240" i="39" s="1"/>
  <c r="T241" i="39"/>
  <c r="V241" i="39" s="1"/>
  <c r="T242" i="39"/>
  <c r="V242" i="39" s="1"/>
  <c r="T243" i="39"/>
  <c r="T244" i="39"/>
  <c r="V244" i="39" s="1"/>
  <c r="T245" i="39"/>
  <c r="T246" i="39"/>
  <c r="T7" i="39"/>
  <c r="V7" i="39" s="1"/>
  <c r="C30" i="37"/>
  <c r="C35" i="37" s="1"/>
  <c r="C5" i="37"/>
  <c r="C14" i="37" s="1"/>
  <c r="E14" i="37" s="1"/>
  <c r="C9" i="35"/>
  <c r="G3" i="29"/>
  <c r="C16" i="37" l="1"/>
  <c r="E16" i="37" s="1"/>
  <c r="C31" i="37"/>
  <c r="C34" i="37" s="1"/>
  <c r="E40" i="37" s="1"/>
  <c r="E43" i="37" s="1"/>
  <c r="C15" i="37"/>
  <c r="E15" i="37" s="1"/>
  <c r="C6" i="37"/>
  <c r="C18" i="37" s="1"/>
  <c r="E18" i="37" s="1"/>
  <c r="C10" i="37"/>
  <c r="C9" i="37" l="1"/>
  <c r="E23" i="37" s="1"/>
  <c r="E26" i="37" s="1"/>
  <c r="C20" i="35"/>
  <c r="E6" i="35"/>
  <c r="E17" i="35"/>
  <c r="L27" i="35"/>
  <c r="E7" i="33"/>
  <c r="E13" i="33" s="1"/>
  <c r="D7" i="33"/>
  <c r="D13" i="33" s="1"/>
  <c r="C7" i="33"/>
  <c r="C13" i="33" s="1"/>
  <c r="D6" i="33"/>
  <c r="D12" i="33" s="1"/>
  <c r="C6" i="33"/>
  <c r="C12" i="33" s="1"/>
  <c r="C5" i="33"/>
  <c r="C11" i="33" s="1"/>
  <c r="T5" i="31"/>
  <c r="T6" i="31"/>
  <c r="T7" i="31"/>
  <c r="T8" i="31"/>
  <c r="T9" i="31"/>
  <c r="T10" i="31"/>
  <c r="T11" i="31"/>
  <c r="T12" i="31"/>
  <c r="T13" i="31"/>
  <c r="T14" i="31"/>
  <c r="T15" i="31"/>
  <c r="T16" i="31"/>
  <c r="T17" i="31"/>
  <c r="T18" i="31"/>
  <c r="T19" i="31"/>
  <c r="T20" i="31"/>
  <c r="T21" i="31"/>
  <c r="T22" i="31"/>
  <c r="T23" i="31"/>
  <c r="T24" i="31"/>
  <c r="T25" i="31"/>
  <c r="T26" i="31"/>
  <c r="T27" i="31"/>
  <c r="T28" i="31"/>
  <c r="T29" i="31"/>
  <c r="T30" i="31"/>
  <c r="T31" i="31"/>
  <c r="T32" i="31"/>
  <c r="T33" i="31"/>
  <c r="T34" i="31"/>
  <c r="T35" i="31"/>
  <c r="T36" i="31"/>
  <c r="T37" i="31"/>
  <c r="T38" i="31"/>
  <c r="T39" i="31"/>
  <c r="T40" i="31"/>
  <c r="T41" i="31"/>
  <c r="T42" i="31"/>
  <c r="T43" i="31"/>
  <c r="T44" i="31"/>
  <c r="T45" i="31"/>
  <c r="T46" i="31"/>
  <c r="T47" i="31"/>
  <c r="T48" i="31"/>
  <c r="T49" i="31"/>
  <c r="T50" i="31"/>
  <c r="T51" i="31"/>
  <c r="T52" i="31"/>
  <c r="T53" i="31"/>
  <c r="T54" i="31"/>
  <c r="T55" i="31"/>
  <c r="T56" i="31"/>
  <c r="T57" i="31"/>
  <c r="T58" i="31"/>
  <c r="T59" i="31"/>
  <c r="T60" i="31"/>
  <c r="T61" i="31"/>
  <c r="T62" i="31"/>
  <c r="T63" i="31"/>
  <c r="T64" i="31"/>
  <c r="T65" i="31"/>
  <c r="T66" i="31"/>
  <c r="T67" i="31"/>
  <c r="T68" i="31"/>
  <c r="T69" i="31"/>
  <c r="T70" i="31"/>
  <c r="T71" i="31"/>
  <c r="T72" i="31"/>
  <c r="T73" i="31"/>
  <c r="T74" i="31"/>
  <c r="T75" i="31"/>
  <c r="T76" i="31"/>
  <c r="T77" i="31"/>
  <c r="T78" i="31"/>
  <c r="T79" i="31"/>
  <c r="T80" i="31"/>
  <c r="T81" i="31"/>
  <c r="T82" i="31"/>
  <c r="T83" i="31"/>
  <c r="T84" i="31"/>
  <c r="T85" i="31"/>
  <c r="T86" i="31"/>
  <c r="T87" i="31"/>
  <c r="T88" i="31"/>
  <c r="T89" i="31"/>
  <c r="T90" i="31"/>
  <c r="T91" i="31"/>
  <c r="T92" i="31"/>
  <c r="T93" i="31"/>
  <c r="T94" i="31"/>
  <c r="T95" i="31"/>
  <c r="T96" i="31"/>
  <c r="T97" i="31"/>
  <c r="T98" i="31"/>
  <c r="T99" i="31"/>
  <c r="T100" i="31"/>
  <c r="T101" i="31"/>
  <c r="T102" i="31"/>
  <c r="T103" i="31"/>
  <c r="T104" i="31"/>
  <c r="T105" i="31"/>
  <c r="T106" i="31"/>
  <c r="T107" i="31"/>
  <c r="T108" i="31"/>
  <c r="T109" i="31"/>
  <c r="T110" i="31"/>
  <c r="T111" i="31"/>
  <c r="T112" i="31"/>
  <c r="T113" i="31"/>
  <c r="T114" i="31"/>
  <c r="T115" i="31"/>
  <c r="T116" i="31"/>
  <c r="T117" i="31"/>
  <c r="T118" i="31"/>
  <c r="T119" i="31"/>
  <c r="T120" i="31"/>
  <c r="T121" i="31"/>
  <c r="T122" i="31"/>
  <c r="T123" i="31"/>
  <c r="T124" i="31"/>
  <c r="T125" i="31"/>
  <c r="T126" i="31"/>
  <c r="T127" i="31"/>
  <c r="T128" i="31"/>
  <c r="T129" i="31"/>
  <c r="T130" i="31"/>
  <c r="T131" i="31"/>
  <c r="T132" i="31"/>
  <c r="T133" i="31"/>
  <c r="T134" i="31"/>
  <c r="T135" i="31"/>
  <c r="T136" i="31"/>
  <c r="T137" i="31"/>
  <c r="T138" i="31"/>
  <c r="T139" i="31"/>
  <c r="T140" i="31"/>
  <c r="T141" i="31"/>
  <c r="T142" i="31"/>
  <c r="T143" i="31"/>
  <c r="T144" i="31"/>
  <c r="T145" i="31"/>
  <c r="T146" i="31"/>
  <c r="T147" i="31"/>
  <c r="T148" i="31"/>
  <c r="T149" i="31"/>
  <c r="T150" i="31"/>
  <c r="T151" i="31"/>
  <c r="T152" i="31"/>
  <c r="T153" i="31"/>
  <c r="T154" i="31"/>
  <c r="T155" i="31"/>
  <c r="T156" i="31"/>
  <c r="T157" i="31"/>
  <c r="T158" i="31"/>
  <c r="T159" i="31"/>
  <c r="T160" i="31"/>
  <c r="T161" i="31"/>
  <c r="T162" i="31"/>
  <c r="T163" i="31"/>
  <c r="T164" i="31"/>
  <c r="T165" i="31"/>
  <c r="T166" i="31"/>
  <c r="T167" i="31"/>
  <c r="T168" i="31"/>
  <c r="T169" i="31"/>
  <c r="T170" i="31"/>
  <c r="T171" i="31"/>
  <c r="T172" i="31"/>
  <c r="T173" i="31"/>
  <c r="T174" i="31"/>
  <c r="T175" i="31"/>
  <c r="T176" i="31"/>
  <c r="T177" i="31"/>
  <c r="T178" i="31"/>
  <c r="T179" i="31"/>
  <c r="T180" i="31"/>
  <c r="T181" i="31"/>
  <c r="T182" i="31"/>
  <c r="T183" i="31"/>
  <c r="T184" i="31"/>
  <c r="T185" i="31"/>
  <c r="T186" i="31"/>
  <c r="T187" i="31"/>
  <c r="T188" i="31"/>
  <c r="T189" i="31"/>
  <c r="T190" i="31"/>
  <c r="T191" i="31"/>
  <c r="T192" i="31"/>
  <c r="T193" i="31"/>
  <c r="T194" i="31"/>
  <c r="T195" i="31"/>
  <c r="T196" i="31"/>
  <c r="T197" i="31"/>
  <c r="T198" i="31"/>
  <c r="T199" i="31"/>
  <c r="T200" i="31"/>
  <c r="T201" i="31"/>
  <c r="T202" i="31"/>
  <c r="T203" i="31"/>
  <c r="T204" i="31"/>
  <c r="T205" i="31"/>
  <c r="T206" i="31"/>
  <c r="T207" i="31"/>
  <c r="T208" i="31"/>
  <c r="T209" i="31"/>
  <c r="T210" i="31"/>
  <c r="T211" i="31"/>
  <c r="T212" i="31"/>
  <c r="T213" i="31"/>
  <c r="T214" i="31"/>
  <c r="T215" i="31"/>
  <c r="T216" i="31"/>
  <c r="T217" i="31"/>
  <c r="T218" i="31"/>
  <c r="T219" i="31"/>
  <c r="T220" i="31"/>
  <c r="T221" i="31"/>
  <c r="T222" i="31"/>
  <c r="T223" i="31"/>
  <c r="T224" i="31"/>
  <c r="T225" i="31"/>
  <c r="T226" i="31"/>
  <c r="T227" i="31"/>
  <c r="T228" i="31"/>
  <c r="T229" i="31"/>
  <c r="T230" i="31"/>
  <c r="T231" i="31"/>
  <c r="T232" i="31"/>
  <c r="T233" i="31"/>
  <c r="T234" i="31"/>
  <c r="T235" i="31"/>
  <c r="T236" i="31"/>
  <c r="T237" i="31"/>
  <c r="T238" i="31"/>
  <c r="T239" i="31"/>
  <c r="T240" i="31"/>
  <c r="T241" i="31"/>
  <c r="T242" i="31"/>
  <c r="T243" i="31"/>
  <c r="S5" i="31"/>
  <c r="S6" i="31"/>
  <c r="S7" i="31"/>
  <c r="S8" i="31"/>
  <c r="S9" i="31"/>
  <c r="S10" i="31"/>
  <c r="S11" i="31"/>
  <c r="S12" i="31"/>
  <c r="S13" i="31"/>
  <c r="S14" i="31"/>
  <c r="S15" i="31"/>
  <c r="S16" i="31"/>
  <c r="S17" i="31"/>
  <c r="S18" i="31"/>
  <c r="S19" i="31"/>
  <c r="S20" i="31"/>
  <c r="S21" i="31"/>
  <c r="S22" i="31"/>
  <c r="S23" i="31"/>
  <c r="S24" i="31"/>
  <c r="S25" i="31"/>
  <c r="S26" i="31"/>
  <c r="S27" i="31"/>
  <c r="S28" i="31"/>
  <c r="S29" i="31"/>
  <c r="S30" i="31"/>
  <c r="S31" i="31"/>
  <c r="S32" i="31"/>
  <c r="S33" i="31"/>
  <c r="S34" i="31"/>
  <c r="S35" i="31"/>
  <c r="S36" i="31"/>
  <c r="S37" i="31"/>
  <c r="S38" i="31"/>
  <c r="S39" i="31"/>
  <c r="S40" i="31"/>
  <c r="S41" i="31"/>
  <c r="S42" i="31"/>
  <c r="S43" i="31"/>
  <c r="S44" i="31"/>
  <c r="S45" i="31"/>
  <c r="S46" i="31"/>
  <c r="S47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61" i="31"/>
  <c r="S62" i="31"/>
  <c r="S63" i="31"/>
  <c r="S64" i="31"/>
  <c r="S65" i="31"/>
  <c r="S66" i="31"/>
  <c r="S67" i="31"/>
  <c r="S68" i="31"/>
  <c r="S69" i="31"/>
  <c r="S70" i="31"/>
  <c r="S71" i="31"/>
  <c r="S72" i="31"/>
  <c r="S73" i="31"/>
  <c r="S74" i="31"/>
  <c r="S75" i="31"/>
  <c r="S76" i="31"/>
  <c r="S77" i="31"/>
  <c r="S78" i="31"/>
  <c r="S79" i="31"/>
  <c r="S80" i="31"/>
  <c r="S81" i="31"/>
  <c r="S82" i="31"/>
  <c r="S83" i="31"/>
  <c r="S84" i="31"/>
  <c r="S85" i="31"/>
  <c r="S86" i="31"/>
  <c r="S87" i="31"/>
  <c r="S88" i="31"/>
  <c r="S89" i="31"/>
  <c r="S90" i="31"/>
  <c r="S91" i="31"/>
  <c r="S92" i="31"/>
  <c r="S93" i="31"/>
  <c r="S94" i="31"/>
  <c r="S95" i="31"/>
  <c r="S96" i="31"/>
  <c r="S97" i="31"/>
  <c r="S98" i="31"/>
  <c r="S99" i="31"/>
  <c r="S100" i="31"/>
  <c r="S101" i="31"/>
  <c r="S102" i="31"/>
  <c r="S103" i="31"/>
  <c r="S104" i="31"/>
  <c r="S105" i="31"/>
  <c r="S106" i="31"/>
  <c r="S107" i="31"/>
  <c r="S108" i="31"/>
  <c r="S109" i="31"/>
  <c r="S110" i="31"/>
  <c r="S111" i="31"/>
  <c r="S112" i="31"/>
  <c r="S113" i="31"/>
  <c r="S114" i="31"/>
  <c r="S115" i="31"/>
  <c r="S116" i="31"/>
  <c r="S117" i="31"/>
  <c r="S118" i="31"/>
  <c r="S119" i="31"/>
  <c r="S120" i="31"/>
  <c r="S121" i="31"/>
  <c r="S122" i="31"/>
  <c r="S123" i="31"/>
  <c r="S124" i="31"/>
  <c r="S125" i="31"/>
  <c r="S126" i="31"/>
  <c r="S127" i="31"/>
  <c r="S128" i="31"/>
  <c r="S129" i="31"/>
  <c r="S130" i="31"/>
  <c r="S131" i="31"/>
  <c r="S132" i="31"/>
  <c r="S133" i="31"/>
  <c r="S134" i="31"/>
  <c r="S135" i="31"/>
  <c r="S136" i="31"/>
  <c r="S137" i="31"/>
  <c r="S138" i="31"/>
  <c r="S139" i="31"/>
  <c r="S140" i="31"/>
  <c r="S141" i="31"/>
  <c r="S142" i="31"/>
  <c r="S143" i="31"/>
  <c r="S144" i="31"/>
  <c r="S145" i="31"/>
  <c r="S146" i="31"/>
  <c r="S147" i="31"/>
  <c r="S148" i="31"/>
  <c r="S149" i="31"/>
  <c r="S150" i="31"/>
  <c r="S151" i="31"/>
  <c r="S152" i="31"/>
  <c r="S153" i="31"/>
  <c r="S154" i="31"/>
  <c r="S155" i="31"/>
  <c r="S156" i="31"/>
  <c r="S157" i="31"/>
  <c r="S158" i="31"/>
  <c r="S159" i="31"/>
  <c r="S160" i="31"/>
  <c r="S161" i="31"/>
  <c r="S162" i="31"/>
  <c r="S163" i="31"/>
  <c r="S164" i="31"/>
  <c r="S165" i="31"/>
  <c r="S166" i="31"/>
  <c r="S167" i="31"/>
  <c r="S168" i="31"/>
  <c r="S169" i="31"/>
  <c r="S170" i="31"/>
  <c r="S171" i="31"/>
  <c r="S172" i="31"/>
  <c r="S173" i="31"/>
  <c r="S174" i="31"/>
  <c r="S175" i="31"/>
  <c r="S176" i="31"/>
  <c r="S177" i="31"/>
  <c r="S178" i="31"/>
  <c r="S179" i="31"/>
  <c r="S180" i="31"/>
  <c r="S181" i="31"/>
  <c r="S182" i="31"/>
  <c r="S183" i="31"/>
  <c r="S184" i="31"/>
  <c r="S185" i="31"/>
  <c r="S186" i="31"/>
  <c r="S187" i="31"/>
  <c r="S188" i="31"/>
  <c r="S189" i="31"/>
  <c r="S190" i="31"/>
  <c r="S191" i="31"/>
  <c r="S192" i="31"/>
  <c r="S193" i="31"/>
  <c r="S194" i="31"/>
  <c r="S195" i="31"/>
  <c r="S196" i="31"/>
  <c r="S197" i="31"/>
  <c r="S198" i="31"/>
  <c r="S199" i="31"/>
  <c r="S200" i="31"/>
  <c r="S201" i="31"/>
  <c r="S202" i="31"/>
  <c r="S203" i="31"/>
  <c r="S204" i="31"/>
  <c r="S205" i="31"/>
  <c r="S206" i="31"/>
  <c r="S207" i="31"/>
  <c r="S208" i="31"/>
  <c r="S209" i="31"/>
  <c r="S210" i="31"/>
  <c r="S211" i="31"/>
  <c r="S212" i="31"/>
  <c r="S213" i="31"/>
  <c r="S214" i="31"/>
  <c r="S215" i="31"/>
  <c r="S216" i="31"/>
  <c r="S217" i="31"/>
  <c r="S218" i="31"/>
  <c r="S219" i="31"/>
  <c r="S220" i="31"/>
  <c r="S221" i="31"/>
  <c r="S222" i="31"/>
  <c r="S223" i="31"/>
  <c r="S224" i="31"/>
  <c r="S225" i="31"/>
  <c r="S226" i="31"/>
  <c r="S227" i="31"/>
  <c r="S228" i="31"/>
  <c r="S229" i="31"/>
  <c r="S230" i="31"/>
  <c r="S231" i="31"/>
  <c r="S232" i="31"/>
  <c r="S233" i="31"/>
  <c r="S234" i="31"/>
  <c r="S235" i="31"/>
  <c r="S236" i="31"/>
  <c r="S237" i="31"/>
  <c r="S238" i="31"/>
  <c r="S239" i="31"/>
  <c r="S240" i="31"/>
  <c r="S241" i="31"/>
  <c r="S242" i="31"/>
  <c r="S243" i="31"/>
  <c r="T4" i="31"/>
  <c r="S4" i="31"/>
  <c r="R5" i="31"/>
  <c r="R6" i="31"/>
  <c r="R7" i="31"/>
  <c r="R8" i="31"/>
  <c r="R9" i="31"/>
  <c r="R10" i="31"/>
  <c r="R11" i="31"/>
  <c r="R12" i="31"/>
  <c r="R13" i="31"/>
  <c r="R14" i="31"/>
  <c r="R15" i="31"/>
  <c r="R16" i="31"/>
  <c r="R17" i="31"/>
  <c r="R18" i="31"/>
  <c r="R19" i="31"/>
  <c r="R20" i="31"/>
  <c r="R21" i="31"/>
  <c r="R22" i="31"/>
  <c r="R23" i="31"/>
  <c r="R24" i="31"/>
  <c r="R25" i="31"/>
  <c r="R26" i="31"/>
  <c r="R27" i="31"/>
  <c r="R28" i="31"/>
  <c r="R29" i="31"/>
  <c r="R30" i="31"/>
  <c r="R31" i="31"/>
  <c r="R32" i="31"/>
  <c r="R33" i="31"/>
  <c r="R34" i="31"/>
  <c r="R35" i="31"/>
  <c r="R36" i="31"/>
  <c r="R37" i="31"/>
  <c r="R38" i="31"/>
  <c r="R39" i="31"/>
  <c r="R40" i="31"/>
  <c r="R41" i="31"/>
  <c r="R42" i="31"/>
  <c r="R43" i="31"/>
  <c r="R44" i="31"/>
  <c r="R45" i="31"/>
  <c r="R46" i="31"/>
  <c r="R47" i="31"/>
  <c r="R48" i="31"/>
  <c r="R49" i="31"/>
  <c r="R50" i="31"/>
  <c r="R51" i="31"/>
  <c r="R52" i="31"/>
  <c r="R53" i="31"/>
  <c r="R54" i="31"/>
  <c r="R55" i="31"/>
  <c r="R56" i="31"/>
  <c r="R57" i="31"/>
  <c r="R58" i="31"/>
  <c r="R59" i="31"/>
  <c r="R60" i="31"/>
  <c r="R61" i="31"/>
  <c r="R62" i="31"/>
  <c r="R63" i="31"/>
  <c r="R64" i="31"/>
  <c r="R65" i="31"/>
  <c r="R66" i="31"/>
  <c r="R67" i="31"/>
  <c r="R68" i="31"/>
  <c r="R69" i="31"/>
  <c r="R70" i="31"/>
  <c r="R71" i="31"/>
  <c r="R72" i="31"/>
  <c r="R73" i="31"/>
  <c r="R74" i="31"/>
  <c r="R75" i="31"/>
  <c r="R76" i="31"/>
  <c r="R77" i="31"/>
  <c r="R78" i="31"/>
  <c r="R79" i="31"/>
  <c r="R80" i="31"/>
  <c r="R81" i="31"/>
  <c r="R82" i="31"/>
  <c r="R83" i="31"/>
  <c r="R84" i="31"/>
  <c r="R85" i="31"/>
  <c r="R86" i="31"/>
  <c r="R87" i="31"/>
  <c r="R88" i="31"/>
  <c r="R89" i="31"/>
  <c r="R90" i="31"/>
  <c r="R91" i="31"/>
  <c r="R92" i="31"/>
  <c r="R93" i="31"/>
  <c r="R94" i="31"/>
  <c r="R95" i="31"/>
  <c r="R96" i="31"/>
  <c r="R97" i="31"/>
  <c r="R98" i="31"/>
  <c r="R99" i="31"/>
  <c r="R100" i="31"/>
  <c r="R101" i="31"/>
  <c r="R102" i="31"/>
  <c r="R103" i="31"/>
  <c r="R104" i="31"/>
  <c r="R105" i="31"/>
  <c r="R106" i="31"/>
  <c r="R107" i="31"/>
  <c r="R108" i="31"/>
  <c r="R109" i="31"/>
  <c r="R110" i="31"/>
  <c r="R111" i="31"/>
  <c r="R112" i="31"/>
  <c r="R113" i="31"/>
  <c r="R114" i="31"/>
  <c r="R115" i="31"/>
  <c r="R116" i="31"/>
  <c r="R117" i="31"/>
  <c r="R118" i="31"/>
  <c r="R119" i="31"/>
  <c r="R120" i="31"/>
  <c r="R121" i="31"/>
  <c r="R122" i="31"/>
  <c r="R123" i="31"/>
  <c r="R124" i="31"/>
  <c r="R125" i="31"/>
  <c r="R126" i="31"/>
  <c r="R127" i="31"/>
  <c r="R128" i="31"/>
  <c r="R129" i="31"/>
  <c r="R130" i="31"/>
  <c r="R131" i="31"/>
  <c r="R132" i="31"/>
  <c r="R133" i="31"/>
  <c r="R134" i="31"/>
  <c r="R135" i="31"/>
  <c r="R136" i="31"/>
  <c r="R137" i="31"/>
  <c r="R138" i="31"/>
  <c r="R139" i="31"/>
  <c r="R140" i="31"/>
  <c r="R141" i="31"/>
  <c r="R142" i="31"/>
  <c r="R143" i="31"/>
  <c r="R144" i="31"/>
  <c r="R145" i="31"/>
  <c r="R146" i="31"/>
  <c r="R147" i="31"/>
  <c r="R148" i="31"/>
  <c r="R149" i="31"/>
  <c r="R150" i="31"/>
  <c r="R151" i="31"/>
  <c r="R152" i="31"/>
  <c r="R153" i="31"/>
  <c r="R154" i="31"/>
  <c r="R155" i="31"/>
  <c r="R156" i="31"/>
  <c r="R157" i="31"/>
  <c r="R158" i="31"/>
  <c r="R159" i="31"/>
  <c r="R160" i="31"/>
  <c r="R161" i="31"/>
  <c r="R162" i="31"/>
  <c r="R163" i="31"/>
  <c r="R164" i="31"/>
  <c r="R165" i="31"/>
  <c r="R166" i="31"/>
  <c r="R167" i="31"/>
  <c r="R168" i="31"/>
  <c r="R169" i="31"/>
  <c r="R170" i="31"/>
  <c r="R171" i="31"/>
  <c r="R172" i="31"/>
  <c r="R173" i="31"/>
  <c r="R174" i="31"/>
  <c r="R175" i="31"/>
  <c r="R176" i="31"/>
  <c r="R177" i="31"/>
  <c r="R178" i="31"/>
  <c r="R179" i="31"/>
  <c r="R180" i="31"/>
  <c r="R181" i="31"/>
  <c r="R182" i="31"/>
  <c r="R183" i="31"/>
  <c r="R184" i="31"/>
  <c r="R185" i="31"/>
  <c r="R186" i="31"/>
  <c r="R187" i="31"/>
  <c r="R188" i="31"/>
  <c r="R189" i="31"/>
  <c r="R190" i="31"/>
  <c r="R191" i="31"/>
  <c r="R192" i="31"/>
  <c r="R193" i="31"/>
  <c r="R194" i="31"/>
  <c r="R195" i="31"/>
  <c r="R196" i="31"/>
  <c r="R197" i="31"/>
  <c r="R198" i="31"/>
  <c r="R199" i="31"/>
  <c r="R200" i="31"/>
  <c r="R201" i="31"/>
  <c r="R202" i="31"/>
  <c r="R203" i="31"/>
  <c r="R204" i="31"/>
  <c r="R205" i="31"/>
  <c r="R206" i="31"/>
  <c r="R207" i="31"/>
  <c r="R208" i="31"/>
  <c r="R209" i="31"/>
  <c r="R210" i="31"/>
  <c r="R211" i="31"/>
  <c r="R212" i="31"/>
  <c r="R213" i="31"/>
  <c r="R214" i="31"/>
  <c r="R215" i="31"/>
  <c r="R216" i="31"/>
  <c r="R217" i="31"/>
  <c r="R218" i="31"/>
  <c r="R219" i="31"/>
  <c r="R220" i="31"/>
  <c r="R221" i="31"/>
  <c r="R222" i="31"/>
  <c r="R223" i="31"/>
  <c r="R224" i="31"/>
  <c r="R225" i="31"/>
  <c r="R226" i="31"/>
  <c r="R227" i="31"/>
  <c r="R228" i="31"/>
  <c r="R229" i="31"/>
  <c r="R230" i="31"/>
  <c r="R231" i="31"/>
  <c r="R232" i="31"/>
  <c r="R233" i="31"/>
  <c r="R234" i="31"/>
  <c r="R235" i="31"/>
  <c r="R236" i="31"/>
  <c r="R237" i="31"/>
  <c r="R238" i="31"/>
  <c r="R239" i="31"/>
  <c r="R240" i="31"/>
  <c r="R241" i="31"/>
  <c r="R242" i="31"/>
  <c r="R243" i="31"/>
  <c r="R4" i="31"/>
  <c r="Q5" i="31"/>
  <c r="Q6" i="31"/>
  <c r="Q7" i="31"/>
  <c r="Q8" i="31"/>
  <c r="Q9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Q22" i="31"/>
  <c r="Q23" i="31"/>
  <c r="Q24" i="31"/>
  <c r="Q25" i="31"/>
  <c r="Q26" i="31"/>
  <c r="Q27" i="31"/>
  <c r="Q28" i="31"/>
  <c r="Q29" i="31"/>
  <c r="Q30" i="31"/>
  <c r="Q31" i="31"/>
  <c r="Q32" i="31"/>
  <c r="Q33" i="31"/>
  <c r="Q34" i="31"/>
  <c r="Q35" i="31"/>
  <c r="Q36" i="31"/>
  <c r="Q37" i="31"/>
  <c r="Q38" i="31"/>
  <c r="Q39" i="31"/>
  <c r="Q40" i="31"/>
  <c r="Q41" i="31"/>
  <c r="Q42" i="31"/>
  <c r="Q43" i="31"/>
  <c r="Q44" i="31"/>
  <c r="Q45" i="31"/>
  <c r="Q46" i="31"/>
  <c r="Q47" i="31"/>
  <c r="Q48" i="31"/>
  <c r="Q49" i="31"/>
  <c r="Q50" i="31"/>
  <c r="Q51" i="31"/>
  <c r="Q52" i="31"/>
  <c r="Q53" i="31"/>
  <c r="Q54" i="31"/>
  <c r="Q55" i="31"/>
  <c r="Q56" i="31"/>
  <c r="Q57" i="31"/>
  <c r="Q58" i="31"/>
  <c r="Q59" i="31"/>
  <c r="Q60" i="31"/>
  <c r="Q61" i="31"/>
  <c r="Q62" i="31"/>
  <c r="Q63" i="31"/>
  <c r="Q64" i="31"/>
  <c r="Q65" i="31"/>
  <c r="Q66" i="31"/>
  <c r="Q67" i="31"/>
  <c r="Q68" i="31"/>
  <c r="Q69" i="31"/>
  <c r="Q70" i="31"/>
  <c r="Q71" i="31"/>
  <c r="Q72" i="31"/>
  <c r="Q73" i="31"/>
  <c r="Q74" i="31"/>
  <c r="Q75" i="31"/>
  <c r="Q76" i="31"/>
  <c r="Q77" i="31"/>
  <c r="Q78" i="31"/>
  <c r="Q79" i="31"/>
  <c r="Q80" i="31"/>
  <c r="Q81" i="31"/>
  <c r="Q82" i="31"/>
  <c r="Q83" i="31"/>
  <c r="Q84" i="31"/>
  <c r="Q85" i="31"/>
  <c r="Q86" i="31"/>
  <c r="Q87" i="31"/>
  <c r="Q88" i="31"/>
  <c r="Q89" i="31"/>
  <c r="Q90" i="31"/>
  <c r="Q91" i="31"/>
  <c r="Q92" i="31"/>
  <c r="Q93" i="31"/>
  <c r="Q94" i="31"/>
  <c r="Q95" i="31"/>
  <c r="Q96" i="31"/>
  <c r="Q97" i="31"/>
  <c r="Q98" i="31"/>
  <c r="Q99" i="31"/>
  <c r="Q100" i="31"/>
  <c r="Q101" i="31"/>
  <c r="Q102" i="31"/>
  <c r="Q103" i="31"/>
  <c r="Q104" i="31"/>
  <c r="Q105" i="31"/>
  <c r="Q106" i="31"/>
  <c r="Q107" i="31"/>
  <c r="Q108" i="31"/>
  <c r="Q109" i="31"/>
  <c r="Q110" i="31"/>
  <c r="Q111" i="31"/>
  <c r="Q112" i="31"/>
  <c r="Q113" i="31"/>
  <c r="Q114" i="31"/>
  <c r="Q115" i="31"/>
  <c r="Q116" i="31"/>
  <c r="Q117" i="31"/>
  <c r="Q118" i="31"/>
  <c r="Q119" i="31"/>
  <c r="Q120" i="31"/>
  <c r="Q121" i="31"/>
  <c r="Q122" i="31"/>
  <c r="Q123" i="31"/>
  <c r="Q124" i="31"/>
  <c r="Q125" i="31"/>
  <c r="Q126" i="31"/>
  <c r="Q127" i="31"/>
  <c r="Q128" i="31"/>
  <c r="Q129" i="31"/>
  <c r="Q130" i="31"/>
  <c r="Q131" i="31"/>
  <c r="Q132" i="31"/>
  <c r="Q133" i="31"/>
  <c r="Q134" i="31"/>
  <c r="Q135" i="31"/>
  <c r="Q136" i="31"/>
  <c r="Q137" i="31"/>
  <c r="Q138" i="31"/>
  <c r="Q139" i="31"/>
  <c r="Q140" i="31"/>
  <c r="Q141" i="31"/>
  <c r="Q142" i="31"/>
  <c r="Q143" i="31"/>
  <c r="Q144" i="31"/>
  <c r="Q145" i="31"/>
  <c r="Q146" i="31"/>
  <c r="Q147" i="31"/>
  <c r="Q148" i="31"/>
  <c r="Q149" i="31"/>
  <c r="Q150" i="31"/>
  <c r="Q151" i="31"/>
  <c r="Q152" i="31"/>
  <c r="Q153" i="31"/>
  <c r="Q154" i="31"/>
  <c r="Q155" i="31"/>
  <c r="Q156" i="31"/>
  <c r="Q157" i="31"/>
  <c r="Q158" i="31"/>
  <c r="Q159" i="31"/>
  <c r="Q160" i="31"/>
  <c r="Q161" i="31"/>
  <c r="Q162" i="31"/>
  <c r="Q163" i="31"/>
  <c r="Q164" i="31"/>
  <c r="Q165" i="31"/>
  <c r="Q166" i="31"/>
  <c r="Q167" i="31"/>
  <c r="Q168" i="31"/>
  <c r="Q169" i="31"/>
  <c r="Q170" i="31"/>
  <c r="Q171" i="31"/>
  <c r="Q172" i="31"/>
  <c r="Q173" i="31"/>
  <c r="Q174" i="31"/>
  <c r="Q175" i="31"/>
  <c r="Q176" i="31"/>
  <c r="Q177" i="31"/>
  <c r="Q178" i="31"/>
  <c r="Q179" i="31"/>
  <c r="Q180" i="31"/>
  <c r="Q181" i="31"/>
  <c r="Q182" i="31"/>
  <c r="Q183" i="31"/>
  <c r="Q184" i="31"/>
  <c r="Q185" i="31"/>
  <c r="Q186" i="31"/>
  <c r="Q187" i="31"/>
  <c r="Q188" i="31"/>
  <c r="Q189" i="31"/>
  <c r="Q190" i="31"/>
  <c r="Q191" i="31"/>
  <c r="Q192" i="31"/>
  <c r="Q193" i="31"/>
  <c r="Q194" i="31"/>
  <c r="Q195" i="31"/>
  <c r="Q196" i="31"/>
  <c r="Q197" i="31"/>
  <c r="Q198" i="31"/>
  <c r="Q199" i="31"/>
  <c r="Q200" i="31"/>
  <c r="Q201" i="31"/>
  <c r="Q202" i="31"/>
  <c r="Q203" i="31"/>
  <c r="Q204" i="31"/>
  <c r="Q205" i="31"/>
  <c r="Q206" i="31"/>
  <c r="Q207" i="31"/>
  <c r="Q208" i="31"/>
  <c r="Q209" i="31"/>
  <c r="Q210" i="31"/>
  <c r="Q211" i="31"/>
  <c r="Q212" i="31"/>
  <c r="Q213" i="31"/>
  <c r="Q214" i="31"/>
  <c r="Q215" i="31"/>
  <c r="Q216" i="31"/>
  <c r="Q217" i="31"/>
  <c r="Q218" i="31"/>
  <c r="Q219" i="31"/>
  <c r="Q220" i="31"/>
  <c r="Q221" i="31"/>
  <c r="Q222" i="31"/>
  <c r="Q223" i="31"/>
  <c r="Q224" i="31"/>
  <c r="Q225" i="31"/>
  <c r="Q226" i="31"/>
  <c r="Q227" i="31"/>
  <c r="Q228" i="31"/>
  <c r="Q229" i="31"/>
  <c r="Q230" i="31"/>
  <c r="Q231" i="31"/>
  <c r="Q232" i="31"/>
  <c r="Q233" i="31"/>
  <c r="Q234" i="31"/>
  <c r="Q235" i="31"/>
  <c r="Q236" i="31"/>
  <c r="Q237" i="31"/>
  <c r="Q238" i="31"/>
  <c r="Q239" i="31"/>
  <c r="Q240" i="31"/>
  <c r="Q241" i="31"/>
  <c r="Q242" i="31"/>
  <c r="Q243" i="31"/>
  <c r="Q4" i="31"/>
  <c r="H8" i="29"/>
  <c r="H5" i="29"/>
  <c r="H10" i="29" s="1"/>
  <c r="E8" i="29"/>
  <c r="F8" i="29"/>
  <c r="D8" i="29"/>
  <c r="F6" i="29" a="1"/>
  <c r="F6" i="29" s="1"/>
  <c r="E6" i="29" a="1"/>
  <c r="E6" i="29" s="1"/>
  <c r="D6" i="29" a="1"/>
  <c r="D6" i="29" s="1"/>
  <c r="N7" i="29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27" i="29"/>
  <c r="N28" i="29"/>
  <c r="N29" i="29"/>
  <c r="N30" i="29"/>
  <c r="N31" i="29"/>
  <c r="N32" i="29"/>
  <c r="N33" i="29"/>
  <c r="N34" i="29"/>
  <c r="N35" i="29"/>
  <c r="N36" i="29"/>
  <c r="N37" i="29"/>
  <c r="N38" i="29"/>
  <c r="N39" i="29"/>
  <c r="N40" i="29"/>
  <c r="N41" i="29"/>
  <c r="N42" i="29"/>
  <c r="N43" i="29"/>
  <c r="N44" i="29"/>
  <c r="N45" i="29"/>
  <c r="N46" i="29"/>
  <c r="N47" i="29"/>
  <c r="N48" i="29"/>
  <c r="N49" i="29"/>
  <c r="N50" i="29"/>
  <c r="N51" i="29"/>
  <c r="N52" i="29"/>
  <c r="N53" i="29"/>
  <c r="N54" i="29"/>
  <c r="N55" i="29"/>
  <c r="N56" i="29"/>
  <c r="N57" i="29"/>
  <c r="N58" i="29"/>
  <c r="N59" i="29"/>
  <c r="N60" i="29"/>
  <c r="N61" i="29"/>
  <c r="N62" i="29"/>
  <c r="N63" i="29"/>
  <c r="N64" i="29"/>
  <c r="N65" i="29"/>
  <c r="N66" i="29"/>
  <c r="N67" i="29"/>
  <c r="N68" i="29"/>
  <c r="N69" i="29"/>
  <c r="N70" i="29"/>
  <c r="N71" i="29"/>
  <c r="N72" i="29"/>
  <c r="N73" i="29"/>
  <c r="N74" i="29"/>
  <c r="N75" i="29"/>
  <c r="N76" i="29"/>
  <c r="N77" i="29"/>
  <c r="N78" i="29"/>
  <c r="N79" i="29"/>
  <c r="N80" i="29"/>
  <c r="N81" i="29"/>
  <c r="N82" i="29"/>
  <c r="N83" i="29"/>
  <c r="N84" i="29"/>
  <c r="N85" i="29"/>
  <c r="N86" i="29"/>
  <c r="N87" i="29"/>
  <c r="N88" i="29"/>
  <c r="N89" i="29"/>
  <c r="N90" i="29"/>
  <c r="N91" i="29"/>
  <c r="N92" i="29"/>
  <c r="N93" i="29"/>
  <c r="N94" i="29"/>
  <c r="N95" i="29"/>
  <c r="N96" i="29"/>
  <c r="N97" i="29"/>
  <c r="N98" i="29"/>
  <c r="N99" i="29"/>
  <c r="N100" i="29"/>
  <c r="N101" i="29"/>
  <c r="N102" i="29"/>
  <c r="N103" i="29"/>
  <c r="N104" i="29"/>
  <c r="N105" i="29"/>
  <c r="N106" i="29"/>
  <c r="N107" i="29"/>
  <c r="N108" i="29"/>
  <c r="N109" i="29"/>
  <c r="N110" i="29"/>
  <c r="N111" i="29"/>
  <c r="N112" i="29"/>
  <c r="N113" i="29"/>
  <c r="N114" i="29"/>
  <c r="N115" i="29"/>
  <c r="N116" i="29"/>
  <c r="N117" i="29"/>
  <c r="N118" i="29"/>
  <c r="N119" i="29"/>
  <c r="N120" i="29"/>
  <c r="N121" i="29"/>
  <c r="N122" i="29"/>
  <c r="N123" i="29"/>
  <c r="N124" i="29"/>
  <c r="N125" i="29"/>
  <c r="N126" i="29"/>
  <c r="N127" i="29"/>
  <c r="N128" i="29"/>
  <c r="N129" i="29"/>
  <c r="N130" i="29"/>
  <c r="N131" i="29"/>
  <c r="N132" i="29"/>
  <c r="N133" i="29"/>
  <c r="N134" i="29"/>
  <c r="N135" i="29"/>
  <c r="N136" i="29"/>
  <c r="N137" i="29"/>
  <c r="N138" i="29"/>
  <c r="N139" i="29"/>
  <c r="N140" i="29"/>
  <c r="N141" i="29"/>
  <c r="N142" i="29"/>
  <c r="N143" i="29"/>
  <c r="N144" i="29"/>
  <c r="N145" i="29"/>
  <c r="N146" i="29"/>
  <c r="N147" i="29"/>
  <c r="N148" i="29"/>
  <c r="N149" i="29"/>
  <c r="N150" i="29"/>
  <c r="N151" i="29"/>
  <c r="N152" i="29"/>
  <c r="N153" i="29"/>
  <c r="N154" i="29"/>
  <c r="N155" i="29"/>
  <c r="N156" i="29"/>
  <c r="N157" i="29"/>
  <c r="N158" i="29"/>
  <c r="N159" i="29"/>
  <c r="N160" i="29"/>
  <c r="N161" i="29"/>
  <c r="N162" i="29"/>
  <c r="N163" i="29"/>
  <c r="N164" i="29"/>
  <c r="N165" i="29"/>
  <c r="N166" i="29"/>
  <c r="N167" i="29"/>
  <c r="N168" i="29"/>
  <c r="N169" i="29"/>
  <c r="N170" i="29"/>
  <c r="N171" i="29"/>
  <c r="N172" i="29"/>
  <c r="N173" i="29"/>
  <c r="N174" i="29"/>
  <c r="N175" i="29"/>
  <c r="N176" i="29"/>
  <c r="N177" i="29"/>
  <c r="N178" i="29"/>
  <c r="N179" i="29"/>
  <c r="N180" i="29"/>
  <c r="N181" i="29"/>
  <c r="N182" i="29"/>
  <c r="N183" i="29"/>
  <c r="N184" i="29"/>
  <c r="N185" i="29"/>
  <c r="N186" i="29"/>
  <c r="N187" i="29"/>
  <c r="N188" i="29"/>
  <c r="N189" i="29"/>
  <c r="N190" i="29"/>
  <c r="N191" i="29"/>
  <c r="N192" i="29"/>
  <c r="N193" i="29"/>
  <c r="N194" i="29"/>
  <c r="N195" i="29"/>
  <c r="N196" i="29"/>
  <c r="N197" i="29"/>
  <c r="N198" i="29"/>
  <c r="N199" i="29"/>
  <c r="N200" i="29"/>
  <c r="N201" i="29"/>
  <c r="N202" i="29"/>
  <c r="N203" i="29"/>
  <c r="N204" i="29"/>
  <c r="N205" i="29"/>
  <c r="N206" i="29"/>
  <c r="N207" i="29"/>
  <c r="N208" i="29"/>
  <c r="N209" i="29"/>
  <c r="N210" i="29"/>
  <c r="N211" i="29"/>
  <c r="N212" i="29"/>
  <c r="N213" i="29"/>
  <c r="N214" i="29"/>
  <c r="N215" i="29"/>
  <c r="N216" i="29"/>
  <c r="N217" i="29"/>
  <c r="N218" i="29"/>
  <c r="N219" i="29"/>
  <c r="N220" i="29"/>
  <c r="N221" i="29"/>
  <c r="N222" i="29"/>
  <c r="N223" i="29"/>
  <c r="N224" i="29"/>
  <c r="N225" i="29"/>
  <c r="N226" i="29"/>
  <c r="N227" i="29"/>
  <c r="N228" i="29"/>
  <c r="N229" i="29"/>
  <c r="N230" i="29"/>
  <c r="N231" i="29"/>
  <c r="N232" i="29"/>
  <c r="N233" i="29"/>
  <c r="N234" i="29"/>
  <c r="N235" i="29"/>
  <c r="N236" i="29"/>
  <c r="N237" i="29"/>
  <c r="N238" i="29"/>
  <c r="N239" i="29"/>
  <c r="N240" i="29"/>
  <c r="N241" i="29"/>
  <c r="N242" i="29"/>
  <c r="N243" i="29"/>
  <c r="N244" i="29"/>
  <c r="N245" i="29"/>
  <c r="N6" i="29"/>
  <c r="F5" i="29"/>
  <c r="D5" i="29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M75" i="26"/>
  <c r="M76" i="26"/>
  <c r="M77" i="26"/>
  <c r="M78" i="26"/>
  <c r="M79" i="26"/>
  <c r="M80" i="26"/>
  <c r="M81" i="26"/>
  <c r="M82" i="26"/>
  <c r="M83" i="26"/>
  <c r="M84" i="26"/>
  <c r="M85" i="26"/>
  <c r="M86" i="26"/>
  <c r="M87" i="26"/>
  <c r="M88" i="26"/>
  <c r="M89" i="26"/>
  <c r="M90" i="26"/>
  <c r="M91" i="26"/>
  <c r="M92" i="26"/>
  <c r="M93" i="26"/>
  <c r="M94" i="26"/>
  <c r="M95" i="26"/>
  <c r="M96" i="26"/>
  <c r="M97" i="26"/>
  <c r="M98" i="26"/>
  <c r="M99" i="26"/>
  <c r="M100" i="26"/>
  <c r="M101" i="26"/>
  <c r="M102" i="26"/>
  <c r="M103" i="26"/>
  <c r="M104" i="26"/>
  <c r="M105" i="26"/>
  <c r="M106" i="26"/>
  <c r="M107" i="26"/>
  <c r="M108" i="26"/>
  <c r="M109" i="26"/>
  <c r="M110" i="26"/>
  <c r="M111" i="26"/>
  <c r="M112" i="26"/>
  <c r="M113" i="26"/>
  <c r="M114" i="26"/>
  <c r="M115" i="26"/>
  <c r="M116" i="26"/>
  <c r="M117" i="26"/>
  <c r="M118" i="26"/>
  <c r="M119" i="26"/>
  <c r="M120" i="26"/>
  <c r="M121" i="26"/>
  <c r="M122" i="26"/>
  <c r="M123" i="26"/>
  <c r="M124" i="26"/>
  <c r="M125" i="26"/>
  <c r="M126" i="26"/>
  <c r="M127" i="26"/>
  <c r="M128" i="26"/>
  <c r="M129" i="26"/>
  <c r="M130" i="26"/>
  <c r="M131" i="26"/>
  <c r="M132" i="26"/>
  <c r="M133" i="26"/>
  <c r="M134" i="26"/>
  <c r="M135" i="26"/>
  <c r="M136" i="26"/>
  <c r="M137" i="26"/>
  <c r="M138" i="26"/>
  <c r="M139" i="26"/>
  <c r="M140" i="26"/>
  <c r="M141" i="26"/>
  <c r="M142" i="26"/>
  <c r="M143" i="26"/>
  <c r="M144" i="26"/>
  <c r="M145" i="26"/>
  <c r="M146" i="26"/>
  <c r="M147" i="26"/>
  <c r="M148" i="26"/>
  <c r="M149" i="26"/>
  <c r="M150" i="26"/>
  <c r="M151" i="26"/>
  <c r="M152" i="26"/>
  <c r="M153" i="26"/>
  <c r="M154" i="26"/>
  <c r="M155" i="26"/>
  <c r="M156" i="26"/>
  <c r="M157" i="26"/>
  <c r="M158" i="26"/>
  <c r="M159" i="26"/>
  <c r="M160" i="26"/>
  <c r="M161" i="26"/>
  <c r="M162" i="26"/>
  <c r="M163" i="26"/>
  <c r="M164" i="26"/>
  <c r="M165" i="26"/>
  <c r="M166" i="26"/>
  <c r="M167" i="26"/>
  <c r="M168" i="26"/>
  <c r="M169" i="26"/>
  <c r="M170" i="26"/>
  <c r="M171" i="26"/>
  <c r="M172" i="26"/>
  <c r="M173" i="26"/>
  <c r="M174" i="26"/>
  <c r="M175" i="26"/>
  <c r="M176" i="26"/>
  <c r="M177" i="26"/>
  <c r="M178" i="26"/>
  <c r="M179" i="26"/>
  <c r="M180" i="26"/>
  <c r="M181" i="26"/>
  <c r="M182" i="26"/>
  <c r="M183" i="26"/>
  <c r="M184" i="26"/>
  <c r="M185" i="26"/>
  <c r="M186" i="26"/>
  <c r="M187" i="26"/>
  <c r="M188" i="26"/>
  <c r="M189" i="26"/>
  <c r="M190" i="26"/>
  <c r="M191" i="26"/>
  <c r="M192" i="26"/>
  <c r="M193" i="26"/>
  <c r="M194" i="26"/>
  <c r="M195" i="26"/>
  <c r="M196" i="26"/>
  <c r="M197" i="26"/>
  <c r="M198" i="26"/>
  <c r="M199" i="26"/>
  <c r="M200" i="26"/>
  <c r="M201" i="26"/>
  <c r="M202" i="26"/>
  <c r="M203" i="26"/>
  <c r="M204" i="26"/>
  <c r="M205" i="26"/>
  <c r="M206" i="26"/>
  <c r="M207" i="26"/>
  <c r="M208" i="26"/>
  <c r="M209" i="26"/>
  <c r="M210" i="26"/>
  <c r="M211" i="26"/>
  <c r="M212" i="26"/>
  <c r="M213" i="26"/>
  <c r="M214" i="26"/>
  <c r="M215" i="26"/>
  <c r="M216" i="26"/>
  <c r="M217" i="26"/>
  <c r="M218" i="26"/>
  <c r="M219" i="26"/>
  <c r="M220" i="26"/>
  <c r="M221" i="26"/>
  <c r="M222" i="26"/>
  <c r="M223" i="26"/>
  <c r="M224" i="26"/>
  <c r="M225" i="26"/>
  <c r="M226" i="26"/>
  <c r="M227" i="26"/>
  <c r="M228" i="26"/>
  <c r="M229" i="26"/>
  <c r="M230" i="26"/>
  <c r="M231" i="26"/>
  <c r="M232" i="26"/>
  <c r="M233" i="26"/>
  <c r="M234" i="26"/>
  <c r="M235" i="26"/>
  <c r="M236" i="26"/>
  <c r="M237" i="26"/>
  <c r="M238" i="26"/>
  <c r="M239" i="26"/>
  <c r="M240" i="26"/>
  <c r="M241" i="26"/>
  <c r="M242" i="26"/>
  <c r="M243" i="26"/>
  <c r="M244" i="26"/>
  <c r="M5" i="26"/>
  <c r="D71" i="26" s="1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6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1" i="26"/>
  <c r="L112" i="26"/>
  <c r="L113" i="26"/>
  <c r="L114" i="26"/>
  <c r="L115" i="26"/>
  <c r="L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0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5" i="26"/>
  <c r="L196" i="26"/>
  <c r="L197" i="26"/>
  <c r="L198" i="26"/>
  <c r="L199" i="26"/>
  <c r="L200" i="26"/>
  <c r="L201" i="26"/>
  <c r="L202" i="26"/>
  <c r="L203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5" i="26"/>
  <c r="C71" i="26" s="1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5" i="26"/>
  <c r="B71" i="26" s="1"/>
  <c r="V6" i="26"/>
  <c r="V7" i="26"/>
  <c r="V8" i="26"/>
  <c r="V9" i="26"/>
  <c r="V10" i="26"/>
  <c r="V11" i="26"/>
  <c r="V12" i="26"/>
  <c r="V13" i="26"/>
  <c r="V14" i="26"/>
  <c r="V15" i="26"/>
  <c r="V16" i="26"/>
  <c r="V17" i="26"/>
  <c r="V18" i="26"/>
  <c r="V19" i="26"/>
  <c r="V20" i="26"/>
  <c r="V21" i="26"/>
  <c r="V22" i="26"/>
  <c r="V23" i="26"/>
  <c r="V24" i="26"/>
  <c r="V25" i="26"/>
  <c r="V26" i="26"/>
  <c r="V27" i="26"/>
  <c r="V28" i="26"/>
  <c r="V29" i="26"/>
  <c r="V30" i="26"/>
  <c r="V31" i="26"/>
  <c r="V32" i="26"/>
  <c r="V33" i="26"/>
  <c r="V34" i="26"/>
  <c r="V35" i="26"/>
  <c r="V36" i="26"/>
  <c r="V37" i="26"/>
  <c r="V38" i="26"/>
  <c r="V39" i="26"/>
  <c r="V40" i="26"/>
  <c r="V41" i="26"/>
  <c r="V42" i="26"/>
  <c r="V43" i="26"/>
  <c r="V44" i="26"/>
  <c r="V45" i="26"/>
  <c r="V46" i="26"/>
  <c r="V47" i="26"/>
  <c r="V48" i="26"/>
  <c r="V49" i="26"/>
  <c r="V50" i="26"/>
  <c r="V51" i="26"/>
  <c r="V52" i="26"/>
  <c r="V53" i="26"/>
  <c r="V54" i="26"/>
  <c r="V55" i="26"/>
  <c r="V56" i="26"/>
  <c r="V57" i="26"/>
  <c r="V58" i="26"/>
  <c r="V59" i="26"/>
  <c r="V60" i="26"/>
  <c r="V61" i="26"/>
  <c r="V62" i="26"/>
  <c r="V63" i="26"/>
  <c r="V64" i="26"/>
  <c r="V65" i="26"/>
  <c r="V66" i="26"/>
  <c r="V67" i="26"/>
  <c r="V68" i="26"/>
  <c r="V69" i="26"/>
  <c r="V70" i="26"/>
  <c r="V71" i="26"/>
  <c r="V72" i="26"/>
  <c r="V73" i="26"/>
  <c r="V74" i="26"/>
  <c r="V75" i="26"/>
  <c r="V76" i="26"/>
  <c r="V77" i="26"/>
  <c r="V78" i="26"/>
  <c r="V79" i="26"/>
  <c r="V80" i="26"/>
  <c r="V81" i="26"/>
  <c r="V82" i="26"/>
  <c r="V83" i="26"/>
  <c r="V84" i="26"/>
  <c r="V85" i="26"/>
  <c r="V86" i="26"/>
  <c r="V87" i="26"/>
  <c r="V88" i="26"/>
  <c r="V89" i="26"/>
  <c r="V90" i="26"/>
  <c r="V91" i="26"/>
  <c r="V92" i="26"/>
  <c r="V93" i="26"/>
  <c r="V94" i="26"/>
  <c r="V95" i="26"/>
  <c r="V96" i="26"/>
  <c r="V97" i="26"/>
  <c r="V98" i="26"/>
  <c r="V99" i="26"/>
  <c r="V100" i="26"/>
  <c r="V101" i="26"/>
  <c r="V102" i="26"/>
  <c r="V103" i="26"/>
  <c r="V104" i="26"/>
  <c r="V105" i="26"/>
  <c r="V106" i="26"/>
  <c r="V107" i="26"/>
  <c r="V108" i="26"/>
  <c r="V109" i="26"/>
  <c r="V110" i="26"/>
  <c r="V111" i="26"/>
  <c r="V112" i="26"/>
  <c r="V113" i="26"/>
  <c r="V114" i="26"/>
  <c r="V115" i="26"/>
  <c r="V116" i="26"/>
  <c r="V117" i="26"/>
  <c r="V118" i="26"/>
  <c r="V119" i="26"/>
  <c r="V120" i="26"/>
  <c r="V121" i="26"/>
  <c r="V122" i="26"/>
  <c r="V123" i="26"/>
  <c r="V124" i="26"/>
  <c r="V125" i="26"/>
  <c r="V126" i="26"/>
  <c r="V127" i="26"/>
  <c r="V128" i="26"/>
  <c r="V129" i="26"/>
  <c r="V130" i="26"/>
  <c r="V131" i="26"/>
  <c r="V132" i="26"/>
  <c r="V133" i="26"/>
  <c r="V134" i="26"/>
  <c r="V135" i="26"/>
  <c r="V136" i="26"/>
  <c r="V137" i="26"/>
  <c r="V138" i="26"/>
  <c r="V139" i="26"/>
  <c r="V140" i="26"/>
  <c r="V141" i="26"/>
  <c r="V142" i="26"/>
  <c r="V143" i="26"/>
  <c r="V144" i="26"/>
  <c r="V145" i="26"/>
  <c r="V146" i="26"/>
  <c r="V147" i="26"/>
  <c r="V148" i="26"/>
  <c r="V149" i="26"/>
  <c r="V150" i="26"/>
  <c r="V151" i="26"/>
  <c r="V152" i="26"/>
  <c r="V153" i="26"/>
  <c r="V154" i="26"/>
  <c r="V155" i="26"/>
  <c r="V156" i="26"/>
  <c r="V157" i="26"/>
  <c r="V158" i="26"/>
  <c r="V159" i="26"/>
  <c r="V160" i="26"/>
  <c r="V161" i="26"/>
  <c r="V162" i="26"/>
  <c r="V163" i="26"/>
  <c r="V164" i="26"/>
  <c r="V165" i="26"/>
  <c r="V166" i="26"/>
  <c r="V167" i="26"/>
  <c r="V168" i="26"/>
  <c r="V169" i="26"/>
  <c r="V170" i="26"/>
  <c r="V171" i="26"/>
  <c r="V172" i="26"/>
  <c r="V173" i="26"/>
  <c r="V174" i="26"/>
  <c r="V175" i="26"/>
  <c r="V176" i="26"/>
  <c r="V177" i="26"/>
  <c r="V178" i="26"/>
  <c r="V179" i="26"/>
  <c r="V180" i="26"/>
  <c r="V181" i="26"/>
  <c r="V182" i="26"/>
  <c r="V183" i="26"/>
  <c r="V184" i="26"/>
  <c r="V185" i="26"/>
  <c r="V186" i="26"/>
  <c r="V187" i="26"/>
  <c r="V188" i="26"/>
  <c r="V189" i="26"/>
  <c r="V190" i="26"/>
  <c r="V191" i="26"/>
  <c r="V192" i="26"/>
  <c r="V193" i="26"/>
  <c r="V194" i="26"/>
  <c r="V195" i="26"/>
  <c r="V196" i="26"/>
  <c r="V197" i="26"/>
  <c r="V198" i="26"/>
  <c r="V199" i="26"/>
  <c r="V200" i="26"/>
  <c r="V201" i="26"/>
  <c r="V202" i="26"/>
  <c r="V203" i="26"/>
  <c r="V204" i="26"/>
  <c r="V205" i="26"/>
  <c r="V206" i="26"/>
  <c r="V207" i="26"/>
  <c r="V208" i="26"/>
  <c r="V209" i="26"/>
  <c r="V210" i="26"/>
  <c r="V211" i="26"/>
  <c r="V212" i="26"/>
  <c r="V213" i="26"/>
  <c r="V214" i="26"/>
  <c r="V215" i="26"/>
  <c r="V216" i="26"/>
  <c r="V217" i="26"/>
  <c r="V218" i="26"/>
  <c r="V219" i="26"/>
  <c r="V220" i="26"/>
  <c r="V221" i="26"/>
  <c r="V222" i="26"/>
  <c r="V223" i="26"/>
  <c r="V224" i="26"/>
  <c r="V225" i="26"/>
  <c r="V226" i="26"/>
  <c r="V227" i="26"/>
  <c r="V228" i="26"/>
  <c r="V229" i="26"/>
  <c r="V230" i="26"/>
  <c r="V231" i="26"/>
  <c r="V232" i="26"/>
  <c r="V233" i="26"/>
  <c r="V234" i="26"/>
  <c r="V235" i="26"/>
  <c r="V236" i="26"/>
  <c r="V237" i="26"/>
  <c r="V238" i="26"/>
  <c r="V239" i="26"/>
  <c r="V240" i="26"/>
  <c r="V241" i="26"/>
  <c r="V242" i="26"/>
  <c r="V243" i="26"/>
  <c r="V244" i="26"/>
  <c r="V245" i="26"/>
  <c r="V5" i="26"/>
  <c r="U6" i="26"/>
  <c r="U7" i="26"/>
  <c r="U8" i="26"/>
  <c r="U9" i="26"/>
  <c r="U10" i="26"/>
  <c r="U11" i="26"/>
  <c r="U12" i="26"/>
  <c r="U13" i="26"/>
  <c r="U14" i="26"/>
  <c r="U15" i="26"/>
  <c r="U16" i="26"/>
  <c r="U17" i="26"/>
  <c r="U18" i="26"/>
  <c r="U19" i="26"/>
  <c r="U20" i="26"/>
  <c r="U21" i="26"/>
  <c r="U22" i="26"/>
  <c r="U23" i="26"/>
  <c r="U24" i="26"/>
  <c r="U25" i="26"/>
  <c r="U26" i="26"/>
  <c r="U27" i="26"/>
  <c r="U28" i="26"/>
  <c r="U29" i="26"/>
  <c r="U30" i="26"/>
  <c r="U31" i="26"/>
  <c r="U32" i="26"/>
  <c r="U33" i="26"/>
  <c r="U34" i="26"/>
  <c r="U35" i="26"/>
  <c r="U36" i="26"/>
  <c r="U37" i="26"/>
  <c r="U38" i="26"/>
  <c r="U39" i="26"/>
  <c r="U40" i="26"/>
  <c r="U41" i="26"/>
  <c r="U42" i="26"/>
  <c r="U43" i="26"/>
  <c r="U44" i="26"/>
  <c r="U45" i="26"/>
  <c r="U46" i="26"/>
  <c r="U47" i="26"/>
  <c r="U48" i="26"/>
  <c r="U49" i="26"/>
  <c r="U50" i="26"/>
  <c r="U51" i="26"/>
  <c r="U52" i="26"/>
  <c r="U53" i="26"/>
  <c r="U54" i="26"/>
  <c r="U55" i="26"/>
  <c r="U56" i="26"/>
  <c r="U57" i="26"/>
  <c r="U58" i="26"/>
  <c r="U59" i="26"/>
  <c r="U60" i="26"/>
  <c r="U61" i="26"/>
  <c r="U62" i="26"/>
  <c r="U63" i="26"/>
  <c r="U64" i="26"/>
  <c r="U65" i="26"/>
  <c r="U66" i="26"/>
  <c r="U67" i="26"/>
  <c r="U68" i="26"/>
  <c r="U69" i="26"/>
  <c r="U70" i="26"/>
  <c r="U71" i="26"/>
  <c r="U72" i="26"/>
  <c r="U73" i="26"/>
  <c r="U74" i="26"/>
  <c r="U75" i="26"/>
  <c r="U76" i="26"/>
  <c r="U77" i="26"/>
  <c r="U78" i="26"/>
  <c r="U79" i="26"/>
  <c r="U80" i="26"/>
  <c r="U81" i="26"/>
  <c r="U82" i="26"/>
  <c r="U83" i="26"/>
  <c r="U84" i="26"/>
  <c r="U85" i="26"/>
  <c r="U86" i="26"/>
  <c r="U87" i="26"/>
  <c r="U88" i="26"/>
  <c r="U89" i="26"/>
  <c r="U90" i="26"/>
  <c r="U91" i="26"/>
  <c r="U92" i="26"/>
  <c r="U93" i="26"/>
  <c r="U94" i="26"/>
  <c r="U95" i="26"/>
  <c r="U96" i="26"/>
  <c r="U97" i="26"/>
  <c r="U98" i="26"/>
  <c r="U99" i="26"/>
  <c r="U100" i="26"/>
  <c r="U101" i="26"/>
  <c r="U102" i="26"/>
  <c r="U103" i="26"/>
  <c r="U104" i="26"/>
  <c r="U105" i="26"/>
  <c r="U106" i="26"/>
  <c r="U107" i="26"/>
  <c r="U108" i="26"/>
  <c r="U109" i="26"/>
  <c r="U110" i="26"/>
  <c r="U111" i="26"/>
  <c r="U112" i="26"/>
  <c r="U113" i="26"/>
  <c r="U114" i="26"/>
  <c r="U115" i="26"/>
  <c r="U116" i="26"/>
  <c r="U117" i="26"/>
  <c r="U118" i="26"/>
  <c r="U119" i="26"/>
  <c r="U120" i="26"/>
  <c r="U121" i="26"/>
  <c r="U122" i="26"/>
  <c r="U123" i="26"/>
  <c r="U124" i="26"/>
  <c r="U125" i="26"/>
  <c r="U126" i="26"/>
  <c r="U127" i="26"/>
  <c r="U128" i="26"/>
  <c r="U129" i="26"/>
  <c r="U130" i="26"/>
  <c r="U131" i="26"/>
  <c r="U132" i="26"/>
  <c r="U133" i="26"/>
  <c r="U134" i="26"/>
  <c r="U135" i="26"/>
  <c r="U136" i="26"/>
  <c r="U137" i="26"/>
  <c r="U138" i="26"/>
  <c r="U139" i="26"/>
  <c r="U140" i="26"/>
  <c r="U141" i="26"/>
  <c r="U142" i="26"/>
  <c r="U143" i="26"/>
  <c r="U144" i="26"/>
  <c r="U145" i="26"/>
  <c r="U146" i="26"/>
  <c r="U147" i="26"/>
  <c r="U148" i="26"/>
  <c r="U149" i="26"/>
  <c r="U150" i="26"/>
  <c r="U151" i="26"/>
  <c r="U152" i="26"/>
  <c r="U153" i="26"/>
  <c r="U154" i="26"/>
  <c r="U155" i="26"/>
  <c r="U156" i="26"/>
  <c r="U157" i="26"/>
  <c r="U158" i="26"/>
  <c r="U159" i="26"/>
  <c r="U160" i="26"/>
  <c r="U161" i="26"/>
  <c r="U162" i="26"/>
  <c r="U163" i="26"/>
  <c r="U164" i="26"/>
  <c r="U165" i="26"/>
  <c r="U166" i="26"/>
  <c r="U167" i="26"/>
  <c r="U168" i="26"/>
  <c r="U169" i="26"/>
  <c r="U170" i="26"/>
  <c r="U171" i="26"/>
  <c r="U172" i="26"/>
  <c r="U173" i="26"/>
  <c r="U174" i="26"/>
  <c r="U175" i="26"/>
  <c r="U176" i="26"/>
  <c r="U177" i="26"/>
  <c r="U178" i="26"/>
  <c r="U179" i="26"/>
  <c r="U180" i="26"/>
  <c r="U181" i="26"/>
  <c r="U182" i="26"/>
  <c r="U183" i="26"/>
  <c r="U184" i="26"/>
  <c r="U185" i="26"/>
  <c r="U186" i="26"/>
  <c r="U187" i="26"/>
  <c r="U188" i="26"/>
  <c r="U189" i="26"/>
  <c r="U190" i="26"/>
  <c r="U191" i="26"/>
  <c r="U192" i="26"/>
  <c r="U193" i="26"/>
  <c r="U194" i="26"/>
  <c r="U195" i="26"/>
  <c r="U196" i="26"/>
  <c r="U197" i="26"/>
  <c r="U198" i="26"/>
  <c r="U199" i="26"/>
  <c r="U200" i="26"/>
  <c r="U201" i="26"/>
  <c r="U202" i="26"/>
  <c r="U203" i="26"/>
  <c r="U204" i="26"/>
  <c r="U205" i="26"/>
  <c r="U206" i="26"/>
  <c r="U207" i="26"/>
  <c r="U208" i="26"/>
  <c r="U209" i="26"/>
  <c r="U210" i="26"/>
  <c r="U211" i="26"/>
  <c r="U212" i="26"/>
  <c r="U213" i="26"/>
  <c r="U214" i="26"/>
  <c r="U215" i="26"/>
  <c r="U216" i="26"/>
  <c r="U217" i="26"/>
  <c r="U218" i="26"/>
  <c r="U219" i="26"/>
  <c r="U220" i="26"/>
  <c r="U221" i="26"/>
  <c r="U222" i="26"/>
  <c r="U223" i="26"/>
  <c r="U224" i="26"/>
  <c r="U225" i="26"/>
  <c r="U226" i="26"/>
  <c r="U227" i="26"/>
  <c r="U228" i="26"/>
  <c r="U229" i="26"/>
  <c r="U230" i="26"/>
  <c r="U231" i="26"/>
  <c r="U232" i="26"/>
  <c r="U233" i="26"/>
  <c r="U234" i="26"/>
  <c r="U235" i="26"/>
  <c r="U236" i="26"/>
  <c r="U237" i="26"/>
  <c r="U238" i="26"/>
  <c r="U239" i="26"/>
  <c r="U240" i="26"/>
  <c r="U241" i="26"/>
  <c r="U242" i="26"/>
  <c r="U243" i="26"/>
  <c r="U244" i="26"/>
  <c r="U245" i="26"/>
  <c r="U5" i="26"/>
  <c r="T7" i="26"/>
  <c r="T8" i="26"/>
  <c r="T9" i="26"/>
  <c r="T10" i="26"/>
  <c r="T11" i="26"/>
  <c r="T12" i="26"/>
  <c r="T13" i="26"/>
  <c r="T14" i="26"/>
  <c r="T15" i="26"/>
  <c r="T16" i="26"/>
  <c r="T17" i="26"/>
  <c r="T18" i="26"/>
  <c r="T19" i="26"/>
  <c r="T20" i="26"/>
  <c r="T21" i="26"/>
  <c r="T22" i="26"/>
  <c r="T23" i="26"/>
  <c r="T24" i="26"/>
  <c r="T25" i="26"/>
  <c r="T26" i="26"/>
  <c r="T27" i="26"/>
  <c r="T28" i="26"/>
  <c r="T29" i="26"/>
  <c r="T30" i="26"/>
  <c r="T31" i="26"/>
  <c r="T32" i="26"/>
  <c r="T33" i="26"/>
  <c r="T34" i="26"/>
  <c r="T35" i="26"/>
  <c r="T36" i="26"/>
  <c r="T37" i="26"/>
  <c r="T38" i="26"/>
  <c r="T39" i="26"/>
  <c r="T40" i="26"/>
  <c r="T41" i="26"/>
  <c r="T42" i="26"/>
  <c r="T43" i="26"/>
  <c r="T44" i="26"/>
  <c r="T45" i="26"/>
  <c r="T46" i="26"/>
  <c r="T47" i="26"/>
  <c r="T48" i="26"/>
  <c r="T49" i="26"/>
  <c r="T50" i="26"/>
  <c r="T51" i="26"/>
  <c r="T52" i="26"/>
  <c r="T53" i="26"/>
  <c r="T54" i="26"/>
  <c r="T55" i="26"/>
  <c r="T56" i="26"/>
  <c r="T57" i="26"/>
  <c r="T58" i="26"/>
  <c r="T59" i="26"/>
  <c r="T60" i="26"/>
  <c r="T61" i="26"/>
  <c r="T62" i="26"/>
  <c r="T63" i="26"/>
  <c r="T64" i="26"/>
  <c r="T65" i="26"/>
  <c r="T66" i="26"/>
  <c r="T67" i="26"/>
  <c r="T68" i="26"/>
  <c r="T69" i="26"/>
  <c r="T70" i="26"/>
  <c r="T71" i="26"/>
  <c r="T72" i="26"/>
  <c r="T73" i="26"/>
  <c r="T74" i="26"/>
  <c r="T75" i="26"/>
  <c r="T76" i="26"/>
  <c r="T77" i="26"/>
  <c r="T78" i="26"/>
  <c r="T79" i="26"/>
  <c r="T80" i="26"/>
  <c r="T81" i="26"/>
  <c r="T82" i="26"/>
  <c r="T83" i="26"/>
  <c r="T84" i="26"/>
  <c r="T85" i="26"/>
  <c r="T86" i="26"/>
  <c r="T87" i="26"/>
  <c r="T88" i="26"/>
  <c r="T89" i="26"/>
  <c r="T90" i="26"/>
  <c r="T91" i="26"/>
  <c r="T92" i="26"/>
  <c r="T93" i="26"/>
  <c r="T94" i="26"/>
  <c r="T95" i="26"/>
  <c r="T96" i="26"/>
  <c r="T97" i="26"/>
  <c r="T98" i="26"/>
  <c r="T99" i="26"/>
  <c r="T100" i="26"/>
  <c r="T101" i="26"/>
  <c r="T102" i="26"/>
  <c r="T103" i="26"/>
  <c r="T104" i="26"/>
  <c r="T105" i="26"/>
  <c r="T106" i="26"/>
  <c r="T107" i="26"/>
  <c r="T108" i="26"/>
  <c r="T109" i="26"/>
  <c r="T110" i="26"/>
  <c r="T111" i="26"/>
  <c r="T112" i="26"/>
  <c r="T113" i="26"/>
  <c r="T114" i="26"/>
  <c r="T115" i="26"/>
  <c r="T116" i="26"/>
  <c r="T117" i="26"/>
  <c r="T118" i="26"/>
  <c r="T119" i="26"/>
  <c r="T120" i="26"/>
  <c r="T121" i="26"/>
  <c r="T122" i="26"/>
  <c r="T123" i="26"/>
  <c r="T124" i="26"/>
  <c r="T125" i="26"/>
  <c r="T126" i="26"/>
  <c r="T127" i="26"/>
  <c r="T128" i="26"/>
  <c r="T129" i="26"/>
  <c r="T130" i="26"/>
  <c r="T131" i="26"/>
  <c r="T132" i="26"/>
  <c r="T133" i="26"/>
  <c r="T134" i="26"/>
  <c r="T135" i="26"/>
  <c r="T136" i="26"/>
  <c r="T137" i="26"/>
  <c r="T138" i="26"/>
  <c r="T139" i="26"/>
  <c r="T140" i="26"/>
  <c r="T141" i="26"/>
  <c r="T142" i="26"/>
  <c r="T143" i="26"/>
  <c r="T144" i="26"/>
  <c r="T145" i="26"/>
  <c r="T146" i="26"/>
  <c r="T147" i="26"/>
  <c r="T148" i="26"/>
  <c r="T149" i="26"/>
  <c r="T150" i="26"/>
  <c r="T151" i="26"/>
  <c r="T152" i="26"/>
  <c r="T153" i="26"/>
  <c r="T154" i="26"/>
  <c r="T155" i="26"/>
  <c r="T156" i="26"/>
  <c r="T157" i="26"/>
  <c r="T158" i="26"/>
  <c r="T159" i="26"/>
  <c r="T160" i="26"/>
  <c r="T161" i="26"/>
  <c r="T162" i="26"/>
  <c r="T163" i="26"/>
  <c r="T164" i="26"/>
  <c r="T165" i="26"/>
  <c r="T166" i="26"/>
  <c r="T167" i="26"/>
  <c r="T168" i="26"/>
  <c r="T169" i="26"/>
  <c r="T170" i="26"/>
  <c r="T171" i="26"/>
  <c r="T172" i="26"/>
  <c r="T173" i="26"/>
  <c r="T174" i="26"/>
  <c r="T175" i="26"/>
  <c r="T176" i="26"/>
  <c r="T177" i="26"/>
  <c r="T178" i="26"/>
  <c r="T179" i="26"/>
  <c r="T180" i="26"/>
  <c r="T181" i="26"/>
  <c r="T182" i="26"/>
  <c r="T183" i="26"/>
  <c r="T184" i="26"/>
  <c r="T185" i="26"/>
  <c r="T186" i="26"/>
  <c r="T187" i="26"/>
  <c r="T188" i="26"/>
  <c r="T189" i="26"/>
  <c r="T190" i="26"/>
  <c r="T191" i="26"/>
  <c r="T192" i="26"/>
  <c r="T193" i="26"/>
  <c r="T194" i="26"/>
  <c r="T195" i="26"/>
  <c r="T196" i="26"/>
  <c r="T197" i="26"/>
  <c r="T198" i="26"/>
  <c r="T199" i="26"/>
  <c r="T200" i="26"/>
  <c r="T201" i="26"/>
  <c r="T202" i="26"/>
  <c r="T203" i="26"/>
  <c r="T204" i="26"/>
  <c r="T205" i="26"/>
  <c r="T206" i="26"/>
  <c r="T207" i="26"/>
  <c r="T208" i="26"/>
  <c r="T209" i="26"/>
  <c r="T210" i="26"/>
  <c r="T211" i="26"/>
  <c r="T212" i="26"/>
  <c r="T213" i="26"/>
  <c r="T214" i="26"/>
  <c r="T215" i="26"/>
  <c r="T216" i="26"/>
  <c r="T217" i="26"/>
  <c r="T218" i="26"/>
  <c r="T219" i="26"/>
  <c r="T220" i="26"/>
  <c r="T221" i="26"/>
  <c r="T222" i="26"/>
  <c r="T223" i="26"/>
  <c r="T224" i="26"/>
  <c r="T225" i="26"/>
  <c r="T226" i="26"/>
  <c r="T227" i="26"/>
  <c r="T228" i="26"/>
  <c r="T229" i="26"/>
  <c r="T230" i="26"/>
  <c r="T231" i="26"/>
  <c r="T232" i="26"/>
  <c r="T233" i="26"/>
  <c r="T234" i="26"/>
  <c r="T235" i="26"/>
  <c r="T236" i="26"/>
  <c r="T237" i="26"/>
  <c r="T238" i="26"/>
  <c r="T239" i="26"/>
  <c r="T240" i="26"/>
  <c r="T241" i="26"/>
  <c r="T242" i="26"/>
  <c r="T243" i="26"/>
  <c r="T244" i="26"/>
  <c r="T245" i="26"/>
  <c r="T6" i="26"/>
  <c r="T5" i="26"/>
  <c r="D4" i="33"/>
  <c r="E4" i="33"/>
  <c r="C4" i="33"/>
  <c r="G3" i="31"/>
  <c r="E3" i="31"/>
  <c r="F3" i="31"/>
  <c r="D3" i="31"/>
  <c r="H3" i="29"/>
  <c r="F3" i="29"/>
  <c r="F4" i="39" s="1"/>
  <c r="E3" i="29"/>
  <c r="E4" i="39" s="1"/>
  <c r="D3" i="29"/>
  <c r="D4" i="39" s="1"/>
  <c r="D5" i="31" l="1"/>
  <c r="D7" i="31" s="1"/>
  <c r="E5" i="31"/>
  <c r="E7" i="31" s="1"/>
  <c r="F5" i="31"/>
  <c r="F7" i="31" s="1"/>
  <c r="G5" i="31"/>
  <c r="G7" i="31" s="1"/>
  <c r="G8" i="29"/>
  <c r="E10" i="29"/>
  <c r="F10" i="29"/>
  <c r="G6" i="29" a="1"/>
  <c r="G6" i="29" s="1"/>
  <c r="D10" i="29"/>
  <c r="C22" i="35"/>
  <c r="C11" i="35"/>
  <c r="G5" i="29"/>
  <c r="D5" i="35"/>
  <c r="D16" i="35" s="1"/>
  <c r="C5" i="35"/>
  <c r="C16" i="35" s="1"/>
  <c r="B14" i="37"/>
  <c r="G10" i="29" l="1"/>
  <c r="B5" i="33"/>
  <c r="B11" i="33" s="1"/>
  <c r="C10" i="33"/>
  <c r="B5" i="35"/>
  <c r="B16" i="35" s="1"/>
  <c r="E10" i="33"/>
  <c r="D10" i="33"/>
  <c r="B6" i="33"/>
  <c r="B7" i="33"/>
  <c r="B13" i="33" l="1"/>
  <c r="B16" i="37"/>
  <c r="B15" i="37"/>
  <c r="B12" i="3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<sst xmlns="http://schemas.openxmlformats.org/spreadsheetml/2006/main" count="346" uniqueCount="127">
  <si>
    <t>Date</t>
  </si>
  <si>
    <t>XOM</t>
  </si>
  <si>
    <t>JNJ</t>
  </si>
  <si>
    <t>AMD</t>
  </si>
  <si>
    <t>Market index</t>
  </si>
  <si>
    <t>USTBILL_monthly</t>
  </si>
  <si>
    <t>Present graph here</t>
  </si>
  <si>
    <t>Perform data calculations here</t>
  </si>
  <si>
    <t xml:space="preserve">Monthly Returns </t>
  </si>
  <si>
    <t>Stock Price</t>
  </si>
  <si>
    <t>Normalised Stock Price</t>
  </si>
  <si>
    <t>R_XOM</t>
  </si>
  <si>
    <t>R_JNJ</t>
  </si>
  <si>
    <t>R_AMD</t>
  </si>
  <si>
    <t>XOM_norm</t>
  </si>
  <si>
    <t>JNJ_norm</t>
  </si>
  <si>
    <t>AMD_norm</t>
  </si>
  <si>
    <t>1. graph</t>
  </si>
  <si>
    <t>2. 2020-2024</t>
  </si>
  <si>
    <t>3. Highest return</t>
  </si>
  <si>
    <t>ANS: AMD</t>
  </si>
  <si>
    <t>4. Highest risk</t>
  </si>
  <si>
    <t>Display results here</t>
  </si>
  <si>
    <t>Perform any calcuations here</t>
  </si>
  <si>
    <t>Average and standard deviation</t>
  </si>
  <si>
    <t>Returns</t>
  </si>
  <si>
    <t>Arithmatic</t>
  </si>
  <si>
    <t>R_Mkt</t>
  </si>
  <si>
    <t>Geometric</t>
  </si>
  <si>
    <t>&lt;&lt; Jan 2005 returns</t>
  </si>
  <si>
    <t>Standard Deviation</t>
  </si>
  <si>
    <t>Difference</t>
  </si>
  <si>
    <t>Average excess returns and Sharpe Ratio</t>
  </si>
  <si>
    <t xml:space="preserve">Monthly Excess Returns </t>
  </si>
  <si>
    <t>XOM_excess</t>
  </si>
  <si>
    <t>JNJ_excess</t>
  </si>
  <si>
    <t>AMD_excess</t>
  </si>
  <si>
    <t>MKT_excess</t>
  </si>
  <si>
    <t>MKT</t>
  </si>
  <si>
    <t>Excess Returns</t>
  </si>
  <si>
    <t>Sharpe Ratio</t>
  </si>
  <si>
    <t>Covariance matrix</t>
  </si>
  <si>
    <t>Monthly Returns</t>
  </si>
  <si>
    <t>SD</t>
  </si>
  <si>
    <t>Correlation matrix</t>
  </si>
  <si>
    <t>Steps to finding optimal weights using Solver</t>
  </si>
  <si>
    <t>Allow short selling, leverage</t>
  </si>
  <si>
    <t>step 1</t>
  </si>
  <si>
    <t>Install solver</t>
  </si>
  <si>
    <t>Portfolio weights</t>
  </si>
  <si>
    <t>Total</t>
  </si>
  <si>
    <t>step  2</t>
  </si>
  <si>
    <t>by changing these cells</t>
  </si>
  <si>
    <t>&lt;&lt;&lt;&lt;</t>
  </si>
  <si>
    <t>subject to these cells equal to 1</t>
  </si>
  <si>
    <t>E(rp)</t>
  </si>
  <si>
    <t>Var(rp)</t>
  </si>
  <si>
    <t>Sharpe</t>
  </si>
  <si>
    <t xml:space="preserve"> Find maximum Sharpe ratio </t>
  </si>
  <si>
    <t>No short selling, leverage</t>
  </si>
  <si>
    <t>Step 3</t>
  </si>
  <si>
    <t>Average returns and standard deviation</t>
  </si>
  <si>
    <t xml:space="preserve">&lt;&lt;&lt; </t>
  </si>
  <si>
    <t>constrain each weight to be</t>
  </si>
  <si>
    <t xml:space="preserve">   =&gt; 0 and &lt;= 1</t>
  </si>
  <si>
    <t xml:space="preserve"> </t>
  </si>
  <si>
    <t>Risk-free rate</t>
  </si>
  <si>
    <t>1.  Same risk as in AMD, invest in optimal portfolio and risk-free asset</t>
  </si>
  <si>
    <t>Optimal porfolio</t>
  </si>
  <si>
    <t>y</t>
  </si>
  <si>
    <t>Weights</t>
  </si>
  <si>
    <t>Risky</t>
  </si>
  <si>
    <t>Risk-Free</t>
  </si>
  <si>
    <t>Complete portfolio</t>
  </si>
  <si>
    <t>E(r)</t>
  </si>
  <si>
    <t>StdDev</t>
  </si>
  <si>
    <t>Final allocations in the complete portfolio</t>
  </si>
  <si>
    <t>Per $10,000 invested</t>
  </si>
  <si>
    <t>Return</t>
  </si>
  <si>
    <t>Risk-free</t>
  </si>
  <si>
    <t>Expected value of portfolio in 20 years, given initial investment of $10,000</t>
  </si>
  <si>
    <t>Expected Value</t>
  </si>
  <si>
    <t>Complete Portfolio</t>
  </si>
  <si>
    <t>2.  Same risk as in AMD, invest in market index  and risk-free asset</t>
  </si>
  <si>
    <t>(Note: Our regression tables are in the subsequent worksheets)</t>
  </si>
  <si>
    <t>Optimal Portfolio Weights</t>
  </si>
  <si>
    <t>Alpha, Beta</t>
  </si>
  <si>
    <t>Optimal</t>
  </si>
  <si>
    <t>Alpha</t>
  </si>
  <si>
    <t>Monthly Excess Returns</t>
  </si>
  <si>
    <t>Optimal Portfolio Returns</t>
  </si>
  <si>
    <t>Optimal Portfolio Excess Returns</t>
  </si>
  <si>
    <t>Market Returns</t>
  </si>
  <si>
    <t>Market Excess Returns</t>
  </si>
  <si>
    <t>t-stat</t>
  </si>
  <si>
    <t>excess_XOM</t>
  </si>
  <si>
    <t>excess_JNJ</t>
  </si>
  <si>
    <t>excess_AMD</t>
  </si>
  <si>
    <t>E(rp)-rf</t>
  </si>
  <si>
    <t>E(rm)-rf</t>
  </si>
  <si>
    <t>SUMMARY OUTPUT</t>
  </si>
  <si>
    <t>Beta</t>
  </si>
  <si>
    <t>Regression Statistics</t>
  </si>
  <si>
    <t>Multiple R</t>
  </si>
  <si>
    <t>R Square</t>
  </si>
  <si>
    <t>R2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</si>
  <si>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</si>
  <si>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</si>
  <si>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</si>
  <si>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</si>
  <si>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</si>
  <si>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</si>
  <si>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</si>
  <si>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</si>
  <si>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</si>
  <si>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</si>
  <si>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</si>
  <si>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</si>
  <si>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</si>
  <si>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</si>
  <si>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</si>
  <si>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</si>
  <si>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</si>
  <si>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</si>
  <si>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</si>
  <si>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</si>
  <si>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Optimal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</si>
</sst>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-&quot;$&quot;* #,##0.00_-;\-&quot;$&quot;* #,##0.00_-;_-&quot;$&quot;* &quot;-&quot;??_-;_-@_-"/>
    <numFmt numFmtId="165" formatCode="mmm\ dd\,\ yyyy"/>
    <numFmt numFmtId="166" formatCode="#,##0.000"/>
    <numFmt numFmtId="167" formatCode="0.000000"/>
    <numFmt numFmtId="168" formatCode="0.0000"/>
    <numFmt numFmtId="169" formatCode="0.000"/>
    <numFmt numFmtId="170" formatCode="0.000%"/>
    <numFmt numFmtId="171" formatCode="0.0000%"/>
  </numFmts>
  <fonts count="13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9"/>
      <name val="宋体"/>
      <family val="3"/>
      <charset val="134"/>
    </font>
    <font>
      <b/>
      <sz val="11.5"/>
      <name val="Calibri"/>
      <family val="2"/>
    </font>
    <font>
      <sz val="10"/>
      <color rgb="FF010133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7">
    <xf numFmtId="0" fontId="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9" fontId="8" fillId="0" borderId="0" applyFont="0" applyFill="0" applyBorder="0" applyAlignment="0" applyProtection="0"/>
    <xf numFmtId="164" fontId="10" fillId="0" borderId="0" applyFont="0" applyFill="0" applyBorder="0" applyAlignment="0" applyProtection="0"/>
  </cellStyleXfs>
  <cellXfs count="88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166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0" fillId="0" borderId="0" xfId="0"/>
    <xf numFmtId="0" fontId="2" fillId="0" borderId="0" xfId="0" applyFont="1"/>
    <xf numFmtId="0" fontId="3" fillId="0" borderId="0" xfId="0" applyFont="1"/>
    <xf numFmtId="167" fontId="0" fillId="0" borderId="0" xfId="0" applyNumberFormat="1" applyFont="1" applyFill="1" applyBorder="1" applyAlignment="1"/>
    <xf numFmtId="0" fontId="0" fillId="0" borderId="0" xfId="0" applyNumberFormat="1" applyFill="1" applyBorder="1" applyAlignment="1"/>
    <xf numFmtId="168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>
      <alignment horizontal="center"/>
    </xf>
    <xf numFmtId="168" fontId="0" fillId="0" borderId="1" xfId="0" applyNumberFormat="1" applyFont="1" applyFill="1" applyBorder="1" applyAlignment="1"/>
    <xf numFmtId="0" fontId="0" fillId="0" borderId="2" xfId="0" applyNumberFormat="1" applyFont="1" applyFill="1" applyBorder="1" applyAlignment="1"/>
    <xf numFmtId="0" fontId="3" fillId="0" borderId="2" xfId="0" applyNumberFormat="1" applyFont="1" applyFill="1" applyBorder="1" applyAlignment="1"/>
    <xf numFmtId="0" fontId="0" fillId="0" borderId="2" xfId="0" applyBorder="1"/>
    <xf numFmtId="0" fontId="2" fillId="0" borderId="2" xfId="0" applyNumberFormat="1" applyFont="1" applyFill="1" applyBorder="1" applyAlignment="1"/>
    <xf numFmtId="165" fontId="0" fillId="0" borderId="2" xfId="0" applyNumberFormat="1" applyFont="1" applyFill="1" applyBorder="1" applyAlignment="1"/>
    <xf numFmtId="0" fontId="3" fillId="0" borderId="0" xfId="0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0" fontId="2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165" fontId="3" fillId="0" borderId="0" xfId="0" applyNumberFormat="1" applyFont="1" applyFill="1" applyBorder="1" applyAlignment="1">
      <alignment vertical="center"/>
    </xf>
    <xf numFmtId="0" fontId="7" fillId="0" borderId="0" xfId="0" applyNumberFormat="1" applyFont="1" applyFill="1" applyBorder="1" applyAlignment="1">
      <alignment horizontal="center" vertical="center" wrapText="1"/>
    </xf>
    <xf numFmtId="168" fontId="3" fillId="0" borderId="0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69" fontId="3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center"/>
    </xf>
    <xf numFmtId="14" fontId="0" fillId="0" borderId="2" xfId="0" applyNumberFormat="1" applyBorder="1" applyAlignment="1">
      <alignment horizontal="center"/>
    </xf>
    <xf numFmtId="166" fontId="3" fillId="0" borderId="0" xfId="0" applyNumberFormat="1" applyFont="1" applyFill="1" applyBorder="1" applyAlignment="1">
      <alignment horizontal="center" vertical="center"/>
    </xf>
    <xf numFmtId="17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left" vertical="center"/>
    </xf>
    <xf numFmtId="171" fontId="0" fillId="0" borderId="1" xfId="0" applyNumberFormat="1" applyFont="1" applyFill="1" applyBorder="1" applyAlignment="1"/>
    <xf numFmtId="0" fontId="3" fillId="0" borderId="2" xfId="0" applyNumberFormat="1" applyFont="1" applyFill="1" applyBorder="1" applyAlignment="1">
      <alignment horizontal="center" vertical="center"/>
    </xf>
    <xf numFmtId="170" fontId="0" fillId="0" borderId="2" xfId="0" applyNumberFormat="1" applyFont="1" applyFill="1" applyBorder="1" applyAlignment="1"/>
    <xf numFmtId="171" fontId="0" fillId="0" borderId="0" xfId="0" applyNumberFormat="1" applyFont="1" applyFill="1" applyBorder="1" applyAlignment="1"/>
    <xf numFmtId="168" fontId="0" fillId="0" borderId="0" xfId="0" applyNumberFormat="1" applyFont="1" applyFill="1" applyBorder="1" applyAlignment="1">
      <alignment vertical="center"/>
    </xf>
    <xf numFmtId="171" fontId="0" fillId="0" borderId="0" xfId="0" applyNumberFormat="1" applyFont="1" applyFill="1" applyBorder="1" applyAlignment="1">
      <alignment vertical="center"/>
    </xf>
    <xf numFmtId="171" fontId="0" fillId="0" borderId="0" xfId="0" applyNumberFormat="1" applyFont="1" applyFill="1" applyBorder="1" applyAlignment="1">
      <alignment horizontal="center" vertical="center"/>
    </xf>
    <xf numFmtId="171" fontId="0" fillId="0" borderId="2" xfId="0" applyNumberFormat="1" applyFont="1" applyFill="1" applyBorder="1" applyAlignment="1"/>
    <xf numFmtId="171" fontId="3" fillId="0" borderId="2" xfId="0" applyNumberFormat="1" applyFont="1" applyFill="1" applyBorder="1" applyAlignment="1">
      <alignment vertical="center"/>
    </xf>
    <xf numFmtId="171" fontId="3" fillId="0" borderId="0" xfId="0" applyNumberFormat="1" applyFont="1" applyFill="1" applyBorder="1" applyAlignment="1">
      <alignment vertical="center"/>
    </xf>
    <xf numFmtId="171" fontId="0" fillId="0" borderId="2" xfId="0" applyNumberFormat="1" applyFont="1" applyFill="1" applyBorder="1" applyAlignment="1">
      <alignment vertical="center"/>
    </xf>
    <xf numFmtId="171" fontId="3" fillId="0" borderId="2" xfId="0" applyNumberFormat="1" applyFont="1" applyFill="1" applyBorder="1" applyAlignment="1"/>
    <xf numFmtId="171" fontId="3" fillId="0" borderId="2" xfId="0" applyNumberFormat="1" applyFont="1" applyFill="1" applyBorder="1" applyAlignment="1">
      <alignment horizontal="center" vertical="center"/>
    </xf>
    <xf numFmtId="171" fontId="3" fillId="0" borderId="0" xfId="0" applyNumberFormat="1" applyFont="1" applyFill="1" applyBorder="1" applyAlignment="1">
      <alignment horizontal="center" vertical="center"/>
    </xf>
    <xf numFmtId="171" fontId="3" fillId="0" borderId="0" xfId="0" applyNumberFormat="1" applyFont="1" applyFill="1" applyBorder="1" applyAlignment="1"/>
    <xf numFmtId="167" fontId="0" fillId="0" borderId="1" xfId="0" applyNumberFormat="1" applyFont="1" applyFill="1" applyBorder="1" applyAlignment="1"/>
    <xf numFmtId="171" fontId="0" fillId="0" borderId="0" xfId="0" applyNumberFormat="1"/>
    <xf numFmtId="171" fontId="0" fillId="0" borderId="1" xfId="0" applyNumberFormat="1" applyBorder="1"/>
    <xf numFmtId="171" fontId="0" fillId="0" borderId="1" xfId="5" applyNumberFormat="1" applyFont="1" applyFill="1" applyBorder="1" applyAlignment="1"/>
    <xf numFmtId="171" fontId="0" fillId="0" borderId="0" xfId="5" applyNumberFormat="1" applyFont="1" applyFill="1" applyBorder="1" applyAlignment="1"/>
    <xf numFmtId="168" fontId="0" fillId="0" borderId="3" xfId="0" applyNumberFormat="1" applyFont="1" applyFill="1" applyBorder="1" applyAlignment="1"/>
    <xf numFmtId="171" fontId="3" fillId="0" borderId="1" xfId="0" applyNumberFormat="1" applyFont="1" applyFill="1" applyBorder="1" applyAlignment="1"/>
    <xf numFmtId="171" fontId="0" fillId="0" borderId="3" xfId="0" applyNumberFormat="1" applyFont="1" applyFill="1" applyBorder="1" applyAlignment="1"/>
    <xf numFmtId="0" fontId="0" fillId="0" borderId="4" xfId="0" applyNumberFormat="1" applyFill="1" applyBorder="1" applyAlignment="1"/>
    <xf numFmtId="0" fontId="9" fillId="0" borderId="5" xfId="0" applyNumberFormat="1" applyFont="1" applyFill="1" applyBorder="1" applyAlignment="1">
      <alignment horizontal="center"/>
    </xf>
    <xf numFmtId="0" fontId="9" fillId="0" borderId="5" xfId="0" applyNumberFormat="1" applyFont="1" applyFill="1" applyBorder="1" applyAlignment="1">
      <alignment horizontal="centerContinuous"/>
    </xf>
    <xf numFmtId="10" fontId="0" fillId="0" borderId="0" xfId="0" applyNumberFormat="1" applyFont="1" applyFill="1" applyBorder="1" applyAlignment="1"/>
    <xf numFmtId="10" fontId="0" fillId="2" borderId="0" xfId="0" applyNumberFormat="1" applyFont="1" applyFill="1" applyBorder="1" applyAlignment="1"/>
    <xf numFmtId="171" fontId="0" fillId="0" borderId="0" xfId="5" applyNumberFormat="1" applyFont="1"/>
    <xf numFmtId="168" fontId="0" fillId="0" borderId="1" xfId="0" applyNumberFormat="1" applyBorder="1"/>
    <xf numFmtId="164" fontId="0" fillId="0" borderId="1" xfId="6" applyFont="1" applyFill="1" applyBorder="1" applyAlignment="1"/>
    <xf numFmtId="164" fontId="0" fillId="0" borderId="0" xfId="6" applyFont="1" applyFill="1" applyBorder="1" applyAlignment="1"/>
    <xf numFmtId="164" fontId="0" fillId="0" borderId="3" xfId="6" applyFont="1" applyFill="1" applyBorder="1" applyAlignment="1"/>
    <xf numFmtId="0" fontId="11" fillId="3" borderId="0" xfId="0" applyNumberFormat="1" applyFont="1" applyFill="1" applyBorder="1" applyAlignment="1">
      <alignment horizontal="center"/>
    </xf>
    <xf numFmtId="0" fontId="11" fillId="3" borderId="0" xfId="0" applyNumberFormat="1" applyFont="1" applyFill="1" applyBorder="1" applyAlignment="1"/>
    <xf numFmtId="0" fontId="11" fillId="0" borderId="0" xfId="0" applyNumberFormat="1" applyFont="1" applyFill="1" applyBorder="1" applyAlignment="1"/>
    <xf numFmtId="171" fontId="0" fillId="0" borderId="0" xfId="0" applyNumberFormat="1" applyFont="1" applyFill="1" applyBorder="1" applyAlignment="1">
      <alignment horizontal="center"/>
    </xf>
    <xf numFmtId="168" fontId="0" fillId="0" borderId="1" xfId="0" applyNumberFormat="1" applyFill="1" applyBorder="1" applyAlignment="1"/>
    <xf numFmtId="0" fontId="11" fillId="0" borderId="0" xfId="0" applyNumberFormat="1" applyFont="1" applyFill="1" applyBorder="1" applyAlignment="1">
      <alignment horizontal="center"/>
    </xf>
    <xf numFmtId="0" fontId="11" fillId="3" borderId="0" xfId="0" applyNumberFormat="1" applyFont="1" applyFill="1" applyBorder="1" applyAlignment="1">
      <alignment horizontal="center"/>
    </xf>
    <xf numFmtId="0" fontId="11" fillId="3" borderId="0" xfId="0" applyNumberFormat="1" applyFont="1" applyFill="1" applyBorder="1" applyAlignment="1">
      <alignment horizontal="center" vertical="center"/>
    </xf>
    <xf numFmtId="0" fontId="12" fillId="3" borderId="0" xfId="0" applyNumberFormat="1" applyFont="1" applyFill="1" applyBorder="1" applyAlignment="1">
      <alignment horizontal="center"/>
    </xf>
    <xf numFmtId="0" fontId="11" fillId="3" borderId="2" xfId="0" applyNumberFormat="1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171" fontId="0" fillId="0" borderId="2" xfId="0" applyNumberFormat="1" applyBorder="1" applyAlignment="1">
      <alignment horizontal="center"/>
    </xf>
    <xf numFmtId="171" fontId="0" fillId="0" borderId="0" xfId="0" applyNumberFormat="1" applyBorder="1" applyAlignment="1">
      <alignment horizontal="center"/>
    </xf>
    <xf numFmtId="0" fontId="3" fillId="2" borderId="0" xfId="0" applyNumberFormat="1" applyFont="1" applyFill="1" applyBorder="1" applyAlignment="1">
      <alignment horizontal="center"/>
    </xf>
  </cellXfs>
  <cellStyles count="7">
    <cellStyle name="Currency" xfId="6" builtinId="4"/>
    <cellStyle name="Normal" xfId="0" builtinId="0"/>
    <cellStyle name="Normal 2" xfId="1" xr:uid="{00000000-0005-0000-0000-000001000000}"/>
    <cellStyle name="Normal 3" xfId="2" xr:uid="{D8A82BDA-1383-467B-A545-D3BF962BF14F}"/>
    <cellStyle name="Normal 4" xfId="4" xr:uid="{C68C10F6-D87D-403A-8F62-FB935BB83131}"/>
    <cellStyle name="Normal 8" xfId="3" xr:uid="{D6621C13-778B-43A3-8C3D-6F9F0D4F7F1F}"/>
    <cellStyle name="Per cent" xfId="5" builtinId="5"/>
  </cellStyles>
  <dxfs count="0"/>
  <tableStyles count="1" defaultTableStyle="TableStyleMedium2" defaultPivotStyle="PivotStyleLight16">
    <tableStyle name="Invisible" pivot="0" table="0" count="0" xr9:uid="{CD276FEF-EC9F-4A62-AB1B-4419E9FB84C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Normalised Stock</a:t>
            </a:r>
            <a:r>
              <a:rPr lang="en-SG" baseline="0"/>
              <a:t> Price Levels (Base = 100)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>
        <c:manualLayout>
          <c:layoutTarget val="inner"/>
          <c:xMode val="edge"/>
          <c:yMode val="edge"/>
          <c:x val="0.14370661062865533"/>
          <c:y val="0.10805535324107793"/>
          <c:w val="0.83271353942493542"/>
          <c:h val="0.63011072834645665"/>
        </c:manualLayout>
      </c:layout>
      <c:scatterChart>
        <c:scatterStyle val="lineMarker"/>
        <c:varyColors val="0"/>
        <c:ser>
          <c:idx val="0"/>
          <c:order val="0"/>
          <c:tx>
            <c:v>XOM Index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'Task 1 GRAPH student '!$O$5:$O$245</c:f>
              <c:numCache>
                <c:formatCode>m/d/yyyy</c:formatCode>
                <c:ptCount val="241"/>
                <c:pt idx="0">
                  <c:v>38352</c:v>
                </c:pt>
                <c:pt idx="1">
                  <c:v>38383</c:v>
                </c:pt>
                <c:pt idx="2">
                  <c:v>38411</c:v>
                </c:pt>
                <c:pt idx="3">
                  <c:v>38442</c:v>
                </c:pt>
                <c:pt idx="4">
                  <c:v>38471</c:v>
                </c:pt>
                <c:pt idx="5">
                  <c:v>38503</c:v>
                </c:pt>
                <c:pt idx="6">
                  <c:v>38533</c:v>
                </c:pt>
                <c:pt idx="7">
                  <c:v>38562</c:v>
                </c:pt>
                <c:pt idx="8">
                  <c:v>38595</c:v>
                </c:pt>
                <c:pt idx="9">
                  <c:v>38625</c:v>
                </c:pt>
                <c:pt idx="10">
                  <c:v>38656</c:v>
                </c:pt>
                <c:pt idx="11">
                  <c:v>38686</c:v>
                </c:pt>
                <c:pt idx="12">
                  <c:v>38716</c:v>
                </c:pt>
                <c:pt idx="13">
                  <c:v>38748</c:v>
                </c:pt>
                <c:pt idx="14">
                  <c:v>38776</c:v>
                </c:pt>
                <c:pt idx="15">
                  <c:v>38807</c:v>
                </c:pt>
                <c:pt idx="16">
                  <c:v>38835</c:v>
                </c:pt>
                <c:pt idx="17">
                  <c:v>38868</c:v>
                </c:pt>
                <c:pt idx="18">
                  <c:v>38898</c:v>
                </c:pt>
                <c:pt idx="19">
                  <c:v>38929</c:v>
                </c:pt>
                <c:pt idx="20">
                  <c:v>38960</c:v>
                </c:pt>
                <c:pt idx="21">
                  <c:v>38989</c:v>
                </c:pt>
                <c:pt idx="22">
                  <c:v>39021</c:v>
                </c:pt>
                <c:pt idx="23">
                  <c:v>39051</c:v>
                </c:pt>
                <c:pt idx="24">
                  <c:v>39080</c:v>
                </c:pt>
                <c:pt idx="25">
                  <c:v>39113</c:v>
                </c:pt>
                <c:pt idx="26">
                  <c:v>39141</c:v>
                </c:pt>
                <c:pt idx="27">
                  <c:v>39171</c:v>
                </c:pt>
                <c:pt idx="28">
                  <c:v>39202</c:v>
                </c:pt>
                <c:pt idx="29">
                  <c:v>39233</c:v>
                </c:pt>
                <c:pt idx="30">
                  <c:v>39262</c:v>
                </c:pt>
                <c:pt idx="31">
                  <c:v>39294</c:v>
                </c:pt>
                <c:pt idx="32">
                  <c:v>39325</c:v>
                </c:pt>
                <c:pt idx="33">
                  <c:v>39353</c:v>
                </c:pt>
                <c:pt idx="34">
                  <c:v>39386</c:v>
                </c:pt>
                <c:pt idx="35">
                  <c:v>39416</c:v>
                </c:pt>
                <c:pt idx="36">
                  <c:v>39447</c:v>
                </c:pt>
                <c:pt idx="37">
                  <c:v>39478</c:v>
                </c:pt>
                <c:pt idx="38">
                  <c:v>39507</c:v>
                </c:pt>
                <c:pt idx="39">
                  <c:v>39538</c:v>
                </c:pt>
                <c:pt idx="40">
                  <c:v>39568</c:v>
                </c:pt>
                <c:pt idx="41">
                  <c:v>39598</c:v>
                </c:pt>
                <c:pt idx="42">
                  <c:v>39629</c:v>
                </c:pt>
                <c:pt idx="43">
                  <c:v>39660</c:v>
                </c:pt>
                <c:pt idx="44">
                  <c:v>39689</c:v>
                </c:pt>
                <c:pt idx="45">
                  <c:v>39721</c:v>
                </c:pt>
                <c:pt idx="46">
                  <c:v>39752</c:v>
                </c:pt>
                <c:pt idx="47">
                  <c:v>39780</c:v>
                </c:pt>
                <c:pt idx="48">
                  <c:v>39813</c:v>
                </c:pt>
                <c:pt idx="49">
                  <c:v>39843</c:v>
                </c:pt>
                <c:pt idx="50">
                  <c:v>39871</c:v>
                </c:pt>
                <c:pt idx="51">
                  <c:v>39903</c:v>
                </c:pt>
                <c:pt idx="52">
                  <c:v>39933</c:v>
                </c:pt>
                <c:pt idx="53">
                  <c:v>39962</c:v>
                </c:pt>
                <c:pt idx="54">
                  <c:v>39994</c:v>
                </c:pt>
                <c:pt idx="55">
                  <c:v>40025</c:v>
                </c:pt>
                <c:pt idx="56">
                  <c:v>40056</c:v>
                </c:pt>
                <c:pt idx="57">
                  <c:v>40086</c:v>
                </c:pt>
                <c:pt idx="58">
                  <c:v>40116</c:v>
                </c:pt>
                <c:pt idx="59">
                  <c:v>40147</c:v>
                </c:pt>
                <c:pt idx="60">
                  <c:v>40178</c:v>
                </c:pt>
                <c:pt idx="61">
                  <c:v>40207</c:v>
                </c:pt>
                <c:pt idx="62">
                  <c:v>40235</c:v>
                </c:pt>
                <c:pt idx="63">
                  <c:v>40268</c:v>
                </c:pt>
                <c:pt idx="64">
                  <c:v>40298</c:v>
                </c:pt>
                <c:pt idx="65">
                  <c:v>40326</c:v>
                </c:pt>
                <c:pt idx="66">
                  <c:v>40359</c:v>
                </c:pt>
                <c:pt idx="67">
                  <c:v>40389</c:v>
                </c:pt>
                <c:pt idx="68">
                  <c:v>40421</c:v>
                </c:pt>
                <c:pt idx="69">
                  <c:v>40451</c:v>
                </c:pt>
                <c:pt idx="70">
                  <c:v>40480</c:v>
                </c:pt>
                <c:pt idx="71">
                  <c:v>40512</c:v>
                </c:pt>
                <c:pt idx="72">
                  <c:v>40543</c:v>
                </c:pt>
                <c:pt idx="73">
                  <c:v>40574</c:v>
                </c:pt>
                <c:pt idx="74">
                  <c:v>40602</c:v>
                </c:pt>
                <c:pt idx="75">
                  <c:v>40633</c:v>
                </c:pt>
                <c:pt idx="76">
                  <c:v>40662</c:v>
                </c:pt>
                <c:pt idx="77">
                  <c:v>40694</c:v>
                </c:pt>
                <c:pt idx="78">
                  <c:v>40724</c:v>
                </c:pt>
                <c:pt idx="79">
                  <c:v>40753</c:v>
                </c:pt>
                <c:pt idx="80">
                  <c:v>40786</c:v>
                </c:pt>
                <c:pt idx="81">
                  <c:v>40816</c:v>
                </c:pt>
                <c:pt idx="82">
                  <c:v>40847</c:v>
                </c:pt>
                <c:pt idx="83">
                  <c:v>40877</c:v>
                </c:pt>
                <c:pt idx="84">
                  <c:v>40907</c:v>
                </c:pt>
                <c:pt idx="85">
                  <c:v>40939</c:v>
                </c:pt>
                <c:pt idx="86">
                  <c:v>40968</c:v>
                </c:pt>
                <c:pt idx="87">
                  <c:v>40998</c:v>
                </c:pt>
                <c:pt idx="88">
                  <c:v>41029</c:v>
                </c:pt>
                <c:pt idx="89">
                  <c:v>41060</c:v>
                </c:pt>
                <c:pt idx="90">
                  <c:v>41089</c:v>
                </c:pt>
                <c:pt idx="91">
                  <c:v>41121</c:v>
                </c:pt>
                <c:pt idx="92">
                  <c:v>41152</c:v>
                </c:pt>
                <c:pt idx="93">
                  <c:v>41180</c:v>
                </c:pt>
                <c:pt idx="94">
                  <c:v>41213</c:v>
                </c:pt>
                <c:pt idx="95">
                  <c:v>41243</c:v>
                </c:pt>
                <c:pt idx="96">
                  <c:v>41274</c:v>
                </c:pt>
                <c:pt idx="97">
                  <c:v>41305</c:v>
                </c:pt>
                <c:pt idx="98">
                  <c:v>41333</c:v>
                </c:pt>
                <c:pt idx="99">
                  <c:v>41361</c:v>
                </c:pt>
                <c:pt idx="100">
                  <c:v>41394</c:v>
                </c:pt>
                <c:pt idx="101">
                  <c:v>41425</c:v>
                </c:pt>
                <c:pt idx="102">
                  <c:v>41453</c:v>
                </c:pt>
                <c:pt idx="103">
                  <c:v>41486</c:v>
                </c:pt>
                <c:pt idx="104">
                  <c:v>41516</c:v>
                </c:pt>
                <c:pt idx="105">
                  <c:v>41547</c:v>
                </c:pt>
                <c:pt idx="106">
                  <c:v>41578</c:v>
                </c:pt>
                <c:pt idx="107">
                  <c:v>41607</c:v>
                </c:pt>
                <c:pt idx="108">
                  <c:v>41639</c:v>
                </c:pt>
                <c:pt idx="109">
                  <c:v>41670</c:v>
                </c:pt>
                <c:pt idx="110">
                  <c:v>41698</c:v>
                </c:pt>
                <c:pt idx="111">
                  <c:v>41729</c:v>
                </c:pt>
                <c:pt idx="112">
                  <c:v>41759</c:v>
                </c:pt>
                <c:pt idx="113">
                  <c:v>41789</c:v>
                </c:pt>
                <c:pt idx="114">
                  <c:v>41820</c:v>
                </c:pt>
                <c:pt idx="115">
                  <c:v>41851</c:v>
                </c:pt>
                <c:pt idx="116">
                  <c:v>41880</c:v>
                </c:pt>
                <c:pt idx="117">
                  <c:v>41912</c:v>
                </c:pt>
                <c:pt idx="118">
                  <c:v>41943</c:v>
                </c:pt>
                <c:pt idx="119">
                  <c:v>41971</c:v>
                </c:pt>
                <c:pt idx="120">
                  <c:v>42004</c:v>
                </c:pt>
                <c:pt idx="121">
                  <c:v>42034</c:v>
                </c:pt>
                <c:pt idx="122">
                  <c:v>42062</c:v>
                </c:pt>
                <c:pt idx="123">
                  <c:v>42094</c:v>
                </c:pt>
                <c:pt idx="124">
                  <c:v>42124</c:v>
                </c:pt>
                <c:pt idx="125">
                  <c:v>42153</c:v>
                </c:pt>
                <c:pt idx="126">
                  <c:v>42185</c:v>
                </c:pt>
                <c:pt idx="127">
                  <c:v>42216</c:v>
                </c:pt>
                <c:pt idx="128">
                  <c:v>42247</c:v>
                </c:pt>
                <c:pt idx="129">
                  <c:v>42277</c:v>
                </c:pt>
                <c:pt idx="130">
                  <c:v>42307</c:v>
                </c:pt>
                <c:pt idx="131">
                  <c:v>42338</c:v>
                </c:pt>
                <c:pt idx="132">
                  <c:v>42369</c:v>
                </c:pt>
                <c:pt idx="133">
                  <c:v>42398</c:v>
                </c:pt>
                <c:pt idx="134">
                  <c:v>42429</c:v>
                </c:pt>
                <c:pt idx="135">
                  <c:v>42460</c:v>
                </c:pt>
                <c:pt idx="136">
                  <c:v>42489</c:v>
                </c:pt>
                <c:pt idx="137">
                  <c:v>42521</c:v>
                </c:pt>
                <c:pt idx="138">
                  <c:v>42551</c:v>
                </c:pt>
                <c:pt idx="139">
                  <c:v>42580</c:v>
                </c:pt>
                <c:pt idx="140">
                  <c:v>42613</c:v>
                </c:pt>
                <c:pt idx="141">
                  <c:v>42643</c:v>
                </c:pt>
                <c:pt idx="142">
                  <c:v>42674</c:v>
                </c:pt>
                <c:pt idx="143">
                  <c:v>42704</c:v>
                </c:pt>
                <c:pt idx="144">
                  <c:v>42734</c:v>
                </c:pt>
                <c:pt idx="145">
                  <c:v>42766</c:v>
                </c:pt>
                <c:pt idx="146">
                  <c:v>42794</c:v>
                </c:pt>
                <c:pt idx="147">
                  <c:v>42825</c:v>
                </c:pt>
                <c:pt idx="148">
                  <c:v>42853</c:v>
                </c:pt>
                <c:pt idx="149">
                  <c:v>42886</c:v>
                </c:pt>
                <c:pt idx="150">
                  <c:v>42916</c:v>
                </c:pt>
                <c:pt idx="151">
                  <c:v>42947</c:v>
                </c:pt>
                <c:pt idx="152">
                  <c:v>42978</c:v>
                </c:pt>
                <c:pt idx="153">
                  <c:v>43007</c:v>
                </c:pt>
                <c:pt idx="154">
                  <c:v>43039</c:v>
                </c:pt>
                <c:pt idx="155">
                  <c:v>43069</c:v>
                </c:pt>
                <c:pt idx="156">
                  <c:v>43098</c:v>
                </c:pt>
                <c:pt idx="157">
                  <c:v>43131</c:v>
                </c:pt>
                <c:pt idx="158">
                  <c:v>43159</c:v>
                </c:pt>
                <c:pt idx="159">
                  <c:v>43188</c:v>
                </c:pt>
                <c:pt idx="160">
                  <c:v>43220</c:v>
                </c:pt>
                <c:pt idx="161">
                  <c:v>43251</c:v>
                </c:pt>
                <c:pt idx="162">
                  <c:v>43280</c:v>
                </c:pt>
                <c:pt idx="163">
                  <c:v>43312</c:v>
                </c:pt>
                <c:pt idx="164">
                  <c:v>43343</c:v>
                </c:pt>
                <c:pt idx="165">
                  <c:v>43371</c:v>
                </c:pt>
                <c:pt idx="166">
                  <c:v>43404</c:v>
                </c:pt>
                <c:pt idx="167">
                  <c:v>43434</c:v>
                </c:pt>
                <c:pt idx="168">
                  <c:v>43465</c:v>
                </c:pt>
                <c:pt idx="169">
                  <c:v>43496</c:v>
                </c:pt>
                <c:pt idx="170">
                  <c:v>43524</c:v>
                </c:pt>
                <c:pt idx="171">
                  <c:v>43553</c:v>
                </c:pt>
                <c:pt idx="172">
                  <c:v>43585</c:v>
                </c:pt>
                <c:pt idx="173">
                  <c:v>43616</c:v>
                </c:pt>
                <c:pt idx="174">
                  <c:v>43644</c:v>
                </c:pt>
                <c:pt idx="175">
                  <c:v>43677</c:v>
                </c:pt>
                <c:pt idx="176">
                  <c:v>43707</c:v>
                </c:pt>
                <c:pt idx="177">
                  <c:v>43738</c:v>
                </c:pt>
                <c:pt idx="178">
                  <c:v>43769</c:v>
                </c:pt>
                <c:pt idx="179">
                  <c:v>43798</c:v>
                </c:pt>
                <c:pt idx="180">
                  <c:v>43830</c:v>
                </c:pt>
                <c:pt idx="181">
                  <c:v>43861</c:v>
                </c:pt>
                <c:pt idx="182">
                  <c:v>43889</c:v>
                </c:pt>
                <c:pt idx="183">
                  <c:v>43921</c:v>
                </c:pt>
                <c:pt idx="184">
                  <c:v>43951</c:v>
                </c:pt>
                <c:pt idx="185">
                  <c:v>43980</c:v>
                </c:pt>
                <c:pt idx="186">
                  <c:v>44012</c:v>
                </c:pt>
                <c:pt idx="187">
                  <c:v>44043</c:v>
                </c:pt>
                <c:pt idx="188">
                  <c:v>44074</c:v>
                </c:pt>
                <c:pt idx="189">
                  <c:v>44104</c:v>
                </c:pt>
                <c:pt idx="190">
                  <c:v>44134</c:v>
                </c:pt>
                <c:pt idx="191">
                  <c:v>44165</c:v>
                </c:pt>
                <c:pt idx="192">
                  <c:v>44196</c:v>
                </c:pt>
                <c:pt idx="193">
                  <c:v>44225</c:v>
                </c:pt>
                <c:pt idx="194">
                  <c:v>44253</c:v>
                </c:pt>
                <c:pt idx="195">
                  <c:v>44286</c:v>
                </c:pt>
                <c:pt idx="196">
                  <c:v>44316</c:v>
                </c:pt>
                <c:pt idx="197">
                  <c:v>44344</c:v>
                </c:pt>
                <c:pt idx="198">
                  <c:v>44377</c:v>
                </c:pt>
                <c:pt idx="199">
                  <c:v>44407</c:v>
                </c:pt>
                <c:pt idx="200">
                  <c:v>44439</c:v>
                </c:pt>
                <c:pt idx="201">
                  <c:v>44469</c:v>
                </c:pt>
                <c:pt idx="202">
                  <c:v>44498</c:v>
                </c:pt>
                <c:pt idx="203">
                  <c:v>44530</c:v>
                </c:pt>
                <c:pt idx="204">
                  <c:v>44561</c:v>
                </c:pt>
                <c:pt idx="205">
                  <c:v>44592</c:v>
                </c:pt>
                <c:pt idx="206">
                  <c:v>44620</c:v>
                </c:pt>
                <c:pt idx="207">
                  <c:v>44651</c:v>
                </c:pt>
                <c:pt idx="208">
                  <c:v>44680</c:v>
                </c:pt>
                <c:pt idx="209">
                  <c:v>44712</c:v>
                </c:pt>
                <c:pt idx="210">
                  <c:v>44742</c:v>
                </c:pt>
                <c:pt idx="211">
                  <c:v>44771</c:v>
                </c:pt>
                <c:pt idx="212">
                  <c:v>44804</c:v>
                </c:pt>
                <c:pt idx="213">
                  <c:v>44834</c:v>
                </c:pt>
                <c:pt idx="214">
                  <c:v>44865</c:v>
                </c:pt>
                <c:pt idx="215">
                  <c:v>44895</c:v>
                </c:pt>
                <c:pt idx="216">
                  <c:v>44925</c:v>
                </c:pt>
                <c:pt idx="217">
                  <c:v>44957</c:v>
                </c:pt>
                <c:pt idx="218">
                  <c:v>44985</c:v>
                </c:pt>
                <c:pt idx="219">
                  <c:v>45016</c:v>
                </c:pt>
                <c:pt idx="220">
                  <c:v>45044</c:v>
                </c:pt>
                <c:pt idx="221">
                  <c:v>45077</c:v>
                </c:pt>
                <c:pt idx="222">
                  <c:v>45107</c:v>
                </c:pt>
                <c:pt idx="223">
                  <c:v>45138</c:v>
                </c:pt>
                <c:pt idx="224">
                  <c:v>45169</c:v>
                </c:pt>
                <c:pt idx="225">
                  <c:v>45198</c:v>
                </c:pt>
                <c:pt idx="226">
                  <c:v>45230</c:v>
                </c:pt>
                <c:pt idx="227">
                  <c:v>45260</c:v>
                </c:pt>
                <c:pt idx="228">
                  <c:v>45289</c:v>
                </c:pt>
                <c:pt idx="229">
                  <c:v>45322</c:v>
                </c:pt>
                <c:pt idx="230">
                  <c:v>45351</c:v>
                </c:pt>
                <c:pt idx="231">
                  <c:v>45379</c:v>
                </c:pt>
                <c:pt idx="232">
                  <c:v>45412</c:v>
                </c:pt>
                <c:pt idx="233">
                  <c:v>45443</c:v>
                </c:pt>
                <c:pt idx="234">
                  <c:v>45471</c:v>
                </c:pt>
                <c:pt idx="235">
                  <c:v>45504</c:v>
                </c:pt>
                <c:pt idx="236">
                  <c:v>45534</c:v>
                </c:pt>
                <c:pt idx="237">
                  <c:v>45565</c:v>
                </c:pt>
                <c:pt idx="238">
                  <c:v>45596</c:v>
                </c:pt>
                <c:pt idx="239">
                  <c:v>45625</c:v>
                </c:pt>
                <c:pt idx="240">
                  <c:v>45657</c:v>
                </c:pt>
              </c:numCache>
            </c:numRef>
          </c:xVal>
          <c:yVal>
            <c:numRef>
              <c:f>'Task 1 GRAPH student '!$T$5:$T$245</c:f>
              <c:numCache>
                <c:formatCode>0.000</c:formatCode>
                <c:ptCount val="241"/>
                <c:pt idx="0">
                  <c:v>100</c:v>
                </c:pt>
                <c:pt idx="1">
                  <c:v>100.66328553203456</c:v>
                </c:pt>
                <c:pt idx="2">
                  <c:v>123.50761499478213</c:v>
                </c:pt>
                <c:pt idx="3">
                  <c:v>116.26999692874442</c:v>
                </c:pt>
                <c:pt idx="4">
                  <c:v>111.25634148790017</c:v>
                </c:pt>
                <c:pt idx="5">
                  <c:v>109.63714905025867</c:v>
                </c:pt>
                <c:pt idx="6">
                  <c:v>112.11471537750954</c:v>
                </c:pt>
                <c:pt idx="7">
                  <c:v>114.61178681958796</c:v>
                </c:pt>
                <c:pt idx="8">
                  <c:v>116.85525455960897</c:v>
                </c:pt>
                <c:pt idx="9">
                  <c:v>123.95630705441437</c:v>
                </c:pt>
                <c:pt idx="10">
                  <c:v>109.52009603571378</c:v>
                </c:pt>
                <c:pt idx="11">
                  <c:v>113.2071804124889</c:v>
                </c:pt>
                <c:pt idx="12">
                  <c:v>109.57861882205628</c:v>
                </c:pt>
                <c:pt idx="13">
                  <c:v>122.41514251794288</c:v>
                </c:pt>
                <c:pt idx="14">
                  <c:v>115.8213048691122</c:v>
                </c:pt>
                <c:pt idx="15">
                  <c:v>118.72805814116776</c:v>
                </c:pt>
                <c:pt idx="16">
                  <c:v>123.05892293514992</c:v>
                </c:pt>
                <c:pt idx="17">
                  <c:v>118.82559859902521</c:v>
                </c:pt>
                <c:pt idx="18">
                  <c:v>119.6839650467747</c:v>
                </c:pt>
                <c:pt idx="19">
                  <c:v>132.14982458419911</c:v>
                </c:pt>
                <c:pt idx="20">
                  <c:v>132.01326645482666</c:v>
                </c:pt>
                <c:pt idx="21">
                  <c:v>130.90128886315989</c:v>
                </c:pt>
                <c:pt idx="22">
                  <c:v>139.32891242203442</c:v>
                </c:pt>
                <c:pt idx="23">
                  <c:v>149.8439330348701</c:v>
                </c:pt>
                <c:pt idx="24">
                  <c:v>149.49278143309533</c:v>
                </c:pt>
                <c:pt idx="25">
                  <c:v>144.55716133528102</c:v>
                </c:pt>
                <c:pt idx="26">
                  <c:v>139.83613470986904</c:v>
                </c:pt>
                <c:pt idx="27">
                  <c:v>147.19079090673185</c:v>
                </c:pt>
                <c:pt idx="28">
                  <c:v>154.85758847571432</c:v>
                </c:pt>
                <c:pt idx="29">
                  <c:v>162.25126978595202</c:v>
                </c:pt>
                <c:pt idx="30">
                  <c:v>163.63636363636365</c:v>
                </c:pt>
                <c:pt idx="31">
                  <c:v>166.07491229209955</c:v>
                </c:pt>
                <c:pt idx="32">
                  <c:v>167.24542755382865</c:v>
                </c:pt>
                <c:pt idx="33">
                  <c:v>180.56964609714262</c:v>
                </c:pt>
                <c:pt idx="34">
                  <c:v>179.45766850547585</c:v>
                </c:pt>
                <c:pt idx="35">
                  <c:v>173.9368056605168</c:v>
                </c:pt>
                <c:pt idx="36">
                  <c:v>182.77410360750855</c:v>
                </c:pt>
                <c:pt idx="37">
                  <c:v>168.55248606121035</c:v>
                </c:pt>
                <c:pt idx="38">
                  <c:v>169.74249899590706</c:v>
                </c:pt>
                <c:pt idx="39">
                  <c:v>165.00195981380764</c:v>
                </c:pt>
                <c:pt idx="40">
                  <c:v>181.56457811612441</c:v>
                </c:pt>
                <c:pt idx="41">
                  <c:v>173.15646711393734</c:v>
                </c:pt>
                <c:pt idx="42">
                  <c:v>171.92742906586574</c:v>
                </c:pt>
                <c:pt idx="43">
                  <c:v>156.90597530002043</c:v>
                </c:pt>
                <c:pt idx="44">
                  <c:v>156.08662652378592</c:v>
                </c:pt>
                <c:pt idx="45">
                  <c:v>151.50215802774639</c:v>
                </c:pt>
                <c:pt idx="46">
                  <c:v>144.59618644865589</c:v>
                </c:pt>
                <c:pt idx="47">
                  <c:v>156.35974278253079</c:v>
                </c:pt>
                <c:pt idx="48">
                  <c:v>155.73547492201115</c:v>
                </c:pt>
                <c:pt idx="49">
                  <c:v>149.20016750138288</c:v>
                </c:pt>
                <c:pt idx="50">
                  <c:v>132.46196595631881</c:v>
                </c:pt>
                <c:pt idx="51">
                  <c:v>132.85212778774863</c:v>
                </c:pt>
                <c:pt idx="52">
                  <c:v>130.06242753023795</c:v>
                </c:pt>
                <c:pt idx="53">
                  <c:v>135.29067644348453</c:v>
                </c:pt>
                <c:pt idx="54">
                  <c:v>136.38315636218371</c:v>
                </c:pt>
                <c:pt idx="55">
                  <c:v>137.3195507111032</c:v>
                </c:pt>
                <c:pt idx="56">
                  <c:v>134.90051461205474</c:v>
                </c:pt>
                <c:pt idx="57">
                  <c:v>133.84705980673044</c:v>
                </c:pt>
                <c:pt idx="58">
                  <c:v>139.81662215318161</c:v>
                </c:pt>
                <c:pt idx="59">
                  <c:v>146.44947747352725</c:v>
                </c:pt>
                <c:pt idx="60">
                  <c:v>133.02771103049594</c:v>
                </c:pt>
                <c:pt idx="61">
                  <c:v>125.69255250660075</c:v>
                </c:pt>
                <c:pt idx="62">
                  <c:v>126.80453009826753</c:v>
                </c:pt>
                <c:pt idx="63">
                  <c:v>130.66719771778995</c:v>
                </c:pt>
                <c:pt idx="64">
                  <c:v>132.20834737054159</c:v>
                </c:pt>
                <c:pt idx="65">
                  <c:v>117.94771959458832</c:v>
                </c:pt>
                <c:pt idx="66">
                  <c:v>111.3343768309301</c:v>
                </c:pt>
                <c:pt idx="67">
                  <c:v>116.42606761480427</c:v>
                </c:pt>
                <c:pt idx="68">
                  <c:v>115.31409002313748</c:v>
                </c:pt>
                <c:pt idx="69">
                  <c:v>120.54233893638408</c:v>
                </c:pt>
                <c:pt idx="70">
                  <c:v>129.71127592846318</c:v>
                </c:pt>
                <c:pt idx="71">
                  <c:v>135.70035083160178</c:v>
                </c:pt>
                <c:pt idx="72">
                  <c:v>142.64534752406718</c:v>
                </c:pt>
                <c:pt idx="73">
                  <c:v>157.39368503116762</c:v>
                </c:pt>
                <c:pt idx="74">
                  <c:v>166.85525083867901</c:v>
                </c:pt>
                <c:pt idx="75">
                  <c:v>164.12407336751082</c:v>
                </c:pt>
                <c:pt idx="76">
                  <c:v>171.63481513415329</c:v>
                </c:pt>
                <c:pt idx="77">
                  <c:v>162.83652741681655</c:v>
                </c:pt>
                <c:pt idx="78">
                  <c:v>158.75926632489183</c:v>
                </c:pt>
                <c:pt idx="79">
                  <c:v>155.65743957898124</c:v>
                </c:pt>
                <c:pt idx="80">
                  <c:v>144.40109064922115</c:v>
                </c:pt>
                <c:pt idx="81">
                  <c:v>141.68942573474041</c:v>
                </c:pt>
                <c:pt idx="82">
                  <c:v>152.34100447694848</c:v>
                </c:pt>
                <c:pt idx="83">
                  <c:v>156.92548785670789</c:v>
                </c:pt>
                <c:pt idx="84">
                  <c:v>165.35311141558239</c:v>
                </c:pt>
                <c:pt idx="85">
                  <c:v>163.36324737761879</c:v>
                </c:pt>
                <c:pt idx="86">
                  <c:v>168.74756697692527</c:v>
                </c:pt>
                <c:pt idx="87">
                  <c:v>169.19626647841736</c:v>
                </c:pt>
                <c:pt idx="88">
                  <c:v>168.43542560480554</c:v>
                </c:pt>
                <c:pt idx="89">
                  <c:v>153.39445928227281</c:v>
                </c:pt>
                <c:pt idx="90">
                  <c:v>166.93328618170892</c:v>
                </c:pt>
                <c:pt idx="91">
                  <c:v>169.43035762378733</c:v>
                </c:pt>
                <c:pt idx="92">
                  <c:v>170.30824407008416</c:v>
                </c:pt>
                <c:pt idx="93">
                  <c:v>178.40421370015153</c:v>
                </c:pt>
                <c:pt idx="94">
                  <c:v>177.85798118266186</c:v>
                </c:pt>
                <c:pt idx="95">
                  <c:v>171.94694162255317</c:v>
                </c:pt>
                <c:pt idx="96">
                  <c:v>168.84511487664261</c:v>
                </c:pt>
                <c:pt idx="97">
                  <c:v>175.51698042664333</c:v>
                </c:pt>
                <c:pt idx="98">
                  <c:v>174.69763165040882</c:v>
                </c:pt>
                <c:pt idx="99">
                  <c:v>175.79009668538816</c:v>
                </c:pt>
                <c:pt idx="100">
                  <c:v>173.60515173170964</c:v>
                </c:pt>
                <c:pt idx="101">
                  <c:v>176.49239988893768</c:v>
                </c:pt>
                <c:pt idx="102">
                  <c:v>176.2582938598479</c:v>
                </c:pt>
                <c:pt idx="103">
                  <c:v>182.89114918019357</c:v>
                </c:pt>
                <c:pt idx="104">
                  <c:v>170.03512781133932</c:v>
                </c:pt>
                <c:pt idx="105">
                  <c:v>167.8501828576608</c:v>
                </c:pt>
                <c:pt idx="106">
                  <c:v>174.83418977978121</c:v>
                </c:pt>
                <c:pt idx="107">
                  <c:v>182.3644292193913</c:v>
                </c:pt>
                <c:pt idx="108">
                  <c:v>197.42489321489168</c:v>
                </c:pt>
                <c:pt idx="109">
                  <c:v>179.78932243428298</c:v>
                </c:pt>
                <c:pt idx="110">
                  <c:v>187.80725672132044</c:v>
                </c:pt>
                <c:pt idx="111">
                  <c:v>190.55794674917607</c:v>
                </c:pt>
                <c:pt idx="112">
                  <c:v>199.78542141131749</c:v>
                </c:pt>
                <c:pt idx="113">
                  <c:v>196.11783470750999</c:v>
                </c:pt>
                <c:pt idx="114">
                  <c:v>196.41046352294225</c:v>
                </c:pt>
                <c:pt idx="115">
                  <c:v>193.0160079615994</c:v>
                </c:pt>
                <c:pt idx="116">
                  <c:v>194.0304376535488</c:v>
                </c:pt>
                <c:pt idx="117">
                  <c:v>183.4764068110581</c:v>
                </c:pt>
                <c:pt idx="118">
                  <c:v>188.66563061092984</c:v>
                </c:pt>
                <c:pt idx="119">
                  <c:v>176.6289580183101</c:v>
                </c:pt>
                <c:pt idx="120">
                  <c:v>180.35505262474027</c:v>
                </c:pt>
                <c:pt idx="121">
                  <c:v>170.54233521545413</c:v>
                </c:pt>
                <c:pt idx="122">
                  <c:v>172.72728016913263</c:v>
                </c:pt>
                <c:pt idx="123">
                  <c:v>165.82130859004215</c:v>
                </c:pt>
                <c:pt idx="124">
                  <c:v>170.4448021994566</c:v>
                </c:pt>
                <c:pt idx="125">
                  <c:v>166.21147042147197</c:v>
                </c:pt>
                <c:pt idx="126">
                  <c:v>162.3097925722945</c:v>
                </c:pt>
                <c:pt idx="127">
                  <c:v>154.52594943062704</c:v>
                </c:pt>
                <c:pt idx="128">
                  <c:v>146.7811165186146</c:v>
                </c:pt>
                <c:pt idx="129">
                  <c:v>145.04487106642821</c:v>
                </c:pt>
                <c:pt idx="130">
                  <c:v>161.41240845303005</c:v>
                </c:pt>
                <c:pt idx="131">
                  <c:v>159.30551372610131</c:v>
                </c:pt>
                <c:pt idx="132">
                  <c:v>152.06788821820368</c:v>
                </c:pt>
                <c:pt idx="133">
                  <c:v>151.87280730248875</c:v>
                </c:pt>
                <c:pt idx="134">
                  <c:v>156.35974278253079</c:v>
                </c:pt>
                <c:pt idx="135">
                  <c:v>163.07061856218652</c:v>
                </c:pt>
                <c:pt idx="136">
                  <c:v>172.45416391038779</c:v>
                </c:pt>
                <c:pt idx="137">
                  <c:v>173.66367451805215</c:v>
                </c:pt>
                <c:pt idx="138">
                  <c:v>182.87163662350611</c:v>
                </c:pt>
                <c:pt idx="139">
                  <c:v>173.5271163886797</c:v>
                </c:pt>
                <c:pt idx="140">
                  <c:v>169.99610269796446</c:v>
                </c:pt>
                <c:pt idx="141">
                  <c:v>170.26921895670927</c:v>
                </c:pt>
                <c:pt idx="142">
                  <c:v>162.54389860138429</c:v>
                </c:pt>
                <c:pt idx="143">
                  <c:v>170.30824407008416</c:v>
                </c:pt>
                <c:pt idx="144">
                  <c:v>176.08272550082043</c:v>
                </c:pt>
                <c:pt idx="145">
                  <c:v>163.65587619305106</c:v>
                </c:pt>
                <c:pt idx="146">
                  <c:v>158.64222075220681</c:v>
                </c:pt>
                <c:pt idx="147">
                  <c:v>159.9883043729634</c:v>
                </c:pt>
                <c:pt idx="148">
                  <c:v>159.28600116941388</c:v>
                </c:pt>
                <c:pt idx="149">
                  <c:v>157.04253342939288</c:v>
                </c:pt>
                <c:pt idx="150">
                  <c:v>157.49123293088499</c:v>
                </c:pt>
                <c:pt idx="151">
                  <c:v>156.14514931012843</c:v>
                </c:pt>
                <c:pt idx="152">
                  <c:v>148.90753868595061</c:v>
                </c:pt>
                <c:pt idx="153">
                  <c:v>159.92978158662089</c:v>
                </c:pt>
                <c:pt idx="154">
                  <c:v>162.60242138772679</c:v>
                </c:pt>
                <c:pt idx="155">
                  <c:v>162.48537581504181</c:v>
                </c:pt>
                <c:pt idx="156">
                  <c:v>163.16816646190389</c:v>
                </c:pt>
                <c:pt idx="157">
                  <c:v>170.30824407008416</c:v>
                </c:pt>
                <c:pt idx="158">
                  <c:v>147.75653598090895</c:v>
                </c:pt>
                <c:pt idx="159">
                  <c:v>145.55209335426284</c:v>
                </c:pt>
                <c:pt idx="160">
                  <c:v>151.67772638677386</c:v>
                </c:pt>
                <c:pt idx="161">
                  <c:v>158.48615006614696</c:v>
                </c:pt>
                <c:pt idx="162">
                  <c:v>161.39291078006246</c:v>
                </c:pt>
                <c:pt idx="163">
                  <c:v>159.01288491066902</c:v>
                </c:pt>
                <c:pt idx="164">
                  <c:v>156.39875301218581</c:v>
                </c:pt>
                <c:pt idx="165">
                  <c:v>165.8603188196972</c:v>
                </c:pt>
                <c:pt idx="166">
                  <c:v>155.44284610657891</c:v>
                </c:pt>
                <c:pt idx="167">
                  <c:v>155.09169450480414</c:v>
                </c:pt>
                <c:pt idx="168">
                  <c:v>133.02771103049594</c:v>
                </c:pt>
                <c:pt idx="169">
                  <c:v>142.95747401246706</c:v>
                </c:pt>
                <c:pt idx="170">
                  <c:v>154.17479782885226</c:v>
                </c:pt>
                <c:pt idx="171">
                  <c:v>157.62779106025741</c:v>
                </c:pt>
                <c:pt idx="172">
                  <c:v>156.61334648458819</c:v>
                </c:pt>
                <c:pt idx="173">
                  <c:v>138.06086414430777</c:v>
                </c:pt>
                <c:pt idx="174">
                  <c:v>149.49278143309533</c:v>
                </c:pt>
                <c:pt idx="175">
                  <c:v>145.06438362311565</c:v>
                </c:pt>
                <c:pt idx="176">
                  <c:v>133.59345610467304</c:v>
                </c:pt>
                <c:pt idx="177">
                  <c:v>137.74873765590789</c:v>
                </c:pt>
                <c:pt idx="178">
                  <c:v>131.81818553911177</c:v>
                </c:pt>
                <c:pt idx="179">
                  <c:v>132.91065057409114</c:v>
                </c:pt>
                <c:pt idx="180">
                  <c:v>136.12953777640649</c:v>
                </c:pt>
                <c:pt idx="181">
                  <c:v>121.1861119117312</c:v>
                </c:pt>
                <c:pt idx="182">
                  <c:v>100.35115160177477</c:v>
                </c:pt>
                <c:pt idx="183">
                  <c:v>74.073356348029293</c:v>
                </c:pt>
                <c:pt idx="184">
                  <c:v>90.655487207033516</c:v>
                </c:pt>
                <c:pt idx="185">
                  <c:v>88.704648282444779</c:v>
                </c:pt>
                <c:pt idx="186">
                  <c:v>87.241519089003233</c:v>
                </c:pt>
                <c:pt idx="187">
                  <c:v>82.091305518786555</c:v>
                </c:pt>
                <c:pt idx="188">
                  <c:v>77.916503969004353</c:v>
                </c:pt>
                <c:pt idx="189">
                  <c:v>66.972303853223906</c:v>
                </c:pt>
                <c:pt idx="190">
                  <c:v>63.636363636363633</c:v>
                </c:pt>
                <c:pt idx="191">
                  <c:v>74.385490278289097</c:v>
                </c:pt>
                <c:pt idx="192">
                  <c:v>80.413582852942668</c:v>
                </c:pt>
                <c:pt idx="193">
                  <c:v>87.475617676233114</c:v>
                </c:pt>
                <c:pt idx="194">
                  <c:v>106.06711024616855</c:v>
                </c:pt>
                <c:pt idx="195">
                  <c:v>108.91534073188163</c:v>
                </c:pt>
                <c:pt idx="196">
                  <c:v>111.66602331787733</c:v>
                </c:pt>
                <c:pt idx="197">
                  <c:v>113.87046594452346</c:v>
                </c:pt>
                <c:pt idx="198">
                  <c:v>123.05892293514992</c:v>
                </c:pt>
                <c:pt idx="199">
                  <c:v>112.30979629322447</c:v>
                </c:pt>
                <c:pt idx="200">
                  <c:v>106.35973906160081</c:v>
                </c:pt>
                <c:pt idx="201">
                  <c:v>114.74834494896038</c:v>
                </c:pt>
                <c:pt idx="202">
                  <c:v>125.77058784963067</c:v>
                </c:pt>
                <c:pt idx="203">
                  <c:v>116.73820154506407</c:v>
                </c:pt>
                <c:pt idx="204">
                  <c:v>119.3718311165149</c:v>
                </c:pt>
                <c:pt idx="205">
                  <c:v>148.18572292571363</c:v>
                </c:pt>
                <c:pt idx="206">
                  <c:v>152.98478489415555</c:v>
                </c:pt>
                <c:pt idx="207">
                  <c:v>161.11977963759782</c:v>
                </c:pt>
                <c:pt idx="208">
                  <c:v>166.30901832118934</c:v>
                </c:pt>
                <c:pt idx="209">
                  <c:v>187.2805367605182</c:v>
                </c:pt>
                <c:pt idx="210">
                  <c:v>167.06984431108137</c:v>
                </c:pt>
                <c:pt idx="211">
                  <c:v>189.09481755573452</c:v>
                </c:pt>
                <c:pt idx="212">
                  <c:v>186.48068565725131</c:v>
                </c:pt>
                <c:pt idx="213">
                  <c:v>170.32774174305177</c:v>
                </c:pt>
                <c:pt idx="214">
                  <c:v>216.17245647088694</c:v>
                </c:pt>
                <c:pt idx="215">
                  <c:v>217.2063987195238</c:v>
                </c:pt>
                <c:pt idx="216">
                  <c:v>215.177539335625</c:v>
                </c:pt>
                <c:pt idx="217">
                  <c:v>226.31682780898026</c:v>
                </c:pt>
                <c:pt idx="218">
                  <c:v>214.41671334573294</c:v>
                </c:pt>
                <c:pt idx="219">
                  <c:v>213.92900361458578</c:v>
                </c:pt>
                <c:pt idx="220">
                  <c:v>230.86227119164496</c:v>
                </c:pt>
                <c:pt idx="221">
                  <c:v>199.33672190982534</c:v>
                </c:pt>
                <c:pt idx="222">
                  <c:v>209.22747466214142</c:v>
                </c:pt>
                <c:pt idx="223">
                  <c:v>209.20796210545399</c:v>
                </c:pt>
                <c:pt idx="224">
                  <c:v>216.91378478781135</c:v>
                </c:pt>
                <c:pt idx="225">
                  <c:v>229.3796443252358</c:v>
                </c:pt>
                <c:pt idx="226">
                  <c:v>206.49629719097322</c:v>
                </c:pt>
                <c:pt idx="227">
                  <c:v>200.42918694480468</c:v>
                </c:pt>
                <c:pt idx="228">
                  <c:v>195.04488222921808</c:v>
                </c:pt>
                <c:pt idx="229">
                  <c:v>200.56574507417713</c:v>
                </c:pt>
                <c:pt idx="230">
                  <c:v>203.90167784917747</c:v>
                </c:pt>
                <c:pt idx="231">
                  <c:v>226.76551242675257</c:v>
                </c:pt>
                <c:pt idx="232">
                  <c:v>230.72571306227249</c:v>
                </c:pt>
                <c:pt idx="233">
                  <c:v>228.75537646471616</c:v>
                </c:pt>
                <c:pt idx="234">
                  <c:v>224.58058235679385</c:v>
                </c:pt>
                <c:pt idx="235">
                  <c:v>231.34998092279213</c:v>
                </c:pt>
                <c:pt idx="236">
                  <c:v>230.08194752878529</c:v>
                </c:pt>
                <c:pt idx="237">
                  <c:v>228.67734112168625</c:v>
                </c:pt>
                <c:pt idx="238">
                  <c:v>227.81896723207686</c:v>
                </c:pt>
                <c:pt idx="239">
                  <c:v>230.12095775844034</c:v>
                </c:pt>
                <c:pt idx="240">
                  <c:v>209.851742522661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7E-4227-A803-DD3D24B65BE6}"/>
            </c:ext>
          </c:extLst>
        </c:ser>
        <c:ser>
          <c:idx val="1"/>
          <c:order val="1"/>
          <c:tx>
            <c:v>JNJ Index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'Task 1 GRAPH student '!$O$5:$O$245</c:f>
              <c:numCache>
                <c:formatCode>m/d/yyyy</c:formatCode>
                <c:ptCount val="241"/>
                <c:pt idx="0">
                  <c:v>38352</c:v>
                </c:pt>
                <c:pt idx="1">
                  <c:v>38383</c:v>
                </c:pt>
                <c:pt idx="2">
                  <c:v>38411</c:v>
                </c:pt>
                <c:pt idx="3">
                  <c:v>38442</c:v>
                </c:pt>
                <c:pt idx="4">
                  <c:v>38471</c:v>
                </c:pt>
                <c:pt idx="5">
                  <c:v>38503</c:v>
                </c:pt>
                <c:pt idx="6">
                  <c:v>38533</c:v>
                </c:pt>
                <c:pt idx="7">
                  <c:v>38562</c:v>
                </c:pt>
                <c:pt idx="8">
                  <c:v>38595</c:v>
                </c:pt>
                <c:pt idx="9">
                  <c:v>38625</c:v>
                </c:pt>
                <c:pt idx="10">
                  <c:v>38656</c:v>
                </c:pt>
                <c:pt idx="11">
                  <c:v>38686</c:v>
                </c:pt>
                <c:pt idx="12">
                  <c:v>38716</c:v>
                </c:pt>
                <c:pt idx="13">
                  <c:v>38748</c:v>
                </c:pt>
                <c:pt idx="14">
                  <c:v>38776</c:v>
                </c:pt>
                <c:pt idx="15">
                  <c:v>38807</c:v>
                </c:pt>
                <c:pt idx="16">
                  <c:v>38835</c:v>
                </c:pt>
                <c:pt idx="17">
                  <c:v>38868</c:v>
                </c:pt>
                <c:pt idx="18">
                  <c:v>38898</c:v>
                </c:pt>
                <c:pt idx="19">
                  <c:v>38929</c:v>
                </c:pt>
                <c:pt idx="20">
                  <c:v>38960</c:v>
                </c:pt>
                <c:pt idx="21">
                  <c:v>38989</c:v>
                </c:pt>
                <c:pt idx="22">
                  <c:v>39021</c:v>
                </c:pt>
                <c:pt idx="23">
                  <c:v>39051</c:v>
                </c:pt>
                <c:pt idx="24">
                  <c:v>39080</c:v>
                </c:pt>
                <c:pt idx="25">
                  <c:v>39113</c:v>
                </c:pt>
                <c:pt idx="26">
                  <c:v>39141</c:v>
                </c:pt>
                <c:pt idx="27">
                  <c:v>39171</c:v>
                </c:pt>
                <c:pt idx="28">
                  <c:v>39202</c:v>
                </c:pt>
                <c:pt idx="29">
                  <c:v>39233</c:v>
                </c:pt>
                <c:pt idx="30">
                  <c:v>39262</c:v>
                </c:pt>
                <c:pt idx="31">
                  <c:v>39294</c:v>
                </c:pt>
                <c:pt idx="32">
                  <c:v>39325</c:v>
                </c:pt>
                <c:pt idx="33">
                  <c:v>39353</c:v>
                </c:pt>
                <c:pt idx="34">
                  <c:v>39386</c:v>
                </c:pt>
                <c:pt idx="35">
                  <c:v>39416</c:v>
                </c:pt>
                <c:pt idx="36">
                  <c:v>39447</c:v>
                </c:pt>
                <c:pt idx="37">
                  <c:v>39478</c:v>
                </c:pt>
                <c:pt idx="38">
                  <c:v>39507</c:v>
                </c:pt>
                <c:pt idx="39">
                  <c:v>39538</c:v>
                </c:pt>
                <c:pt idx="40">
                  <c:v>39568</c:v>
                </c:pt>
                <c:pt idx="41">
                  <c:v>39598</c:v>
                </c:pt>
                <c:pt idx="42">
                  <c:v>39629</c:v>
                </c:pt>
                <c:pt idx="43">
                  <c:v>39660</c:v>
                </c:pt>
                <c:pt idx="44">
                  <c:v>39689</c:v>
                </c:pt>
                <c:pt idx="45">
                  <c:v>39721</c:v>
                </c:pt>
                <c:pt idx="46">
                  <c:v>39752</c:v>
                </c:pt>
                <c:pt idx="47">
                  <c:v>39780</c:v>
                </c:pt>
                <c:pt idx="48">
                  <c:v>39813</c:v>
                </c:pt>
                <c:pt idx="49">
                  <c:v>39843</c:v>
                </c:pt>
                <c:pt idx="50">
                  <c:v>39871</c:v>
                </c:pt>
                <c:pt idx="51">
                  <c:v>39903</c:v>
                </c:pt>
                <c:pt idx="52">
                  <c:v>39933</c:v>
                </c:pt>
                <c:pt idx="53">
                  <c:v>39962</c:v>
                </c:pt>
                <c:pt idx="54">
                  <c:v>39994</c:v>
                </c:pt>
                <c:pt idx="55">
                  <c:v>40025</c:v>
                </c:pt>
                <c:pt idx="56">
                  <c:v>40056</c:v>
                </c:pt>
                <c:pt idx="57">
                  <c:v>40086</c:v>
                </c:pt>
                <c:pt idx="58">
                  <c:v>40116</c:v>
                </c:pt>
                <c:pt idx="59">
                  <c:v>40147</c:v>
                </c:pt>
                <c:pt idx="60">
                  <c:v>40178</c:v>
                </c:pt>
                <c:pt idx="61">
                  <c:v>40207</c:v>
                </c:pt>
                <c:pt idx="62">
                  <c:v>40235</c:v>
                </c:pt>
                <c:pt idx="63">
                  <c:v>40268</c:v>
                </c:pt>
                <c:pt idx="64">
                  <c:v>40298</c:v>
                </c:pt>
                <c:pt idx="65">
                  <c:v>40326</c:v>
                </c:pt>
                <c:pt idx="66">
                  <c:v>40359</c:v>
                </c:pt>
                <c:pt idx="67">
                  <c:v>40389</c:v>
                </c:pt>
                <c:pt idx="68">
                  <c:v>40421</c:v>
                </c:pt>
                <c:pt idx="69">
                  <c:v>40451</c:v>
                </c:pt>
                <c:pt idx="70">
                  <c:v>40480</c:v>
                </c:pt>
                <c:pt idx="71">
                  <c:v>40512</c:v>
                </c:pt>
                <c:pt idx="72">
                  <c:v>40543</c:v>
                </c:pt>
                <c:pt idx="73">
                  <c:v>40574</c:v>
                </c:pt>
                <c:pt idx="74">
                  <c:v>40602</c:v>
                </c:pt>
                <c:pt idx="75">
                  <c:v>40633</c:v>
                </c:pt>
                <c:pt idx="76">
                  <c:v>40662</c:v>
                </c:pt>
                <c:pt idx="77">
                  <c:v>40694</c:v>
                </c:pt>
                <c:pt idx="78">
                  <c:v>40724</c:v>
                </c:pt>
                <c:pt idx="79">
                  <c:v>40753</c:v>
                </c:pt>
                <c:pt idx="80">
                  <c:v>40786</c:v>
                </c:pt>
                <c:pt idx="81">
                  <c:v>40816</c:v>
                </c:pt>
                <c:pt idx="82">
                  <c:v>40847</c:v>
                </c:pt>
                <c:pt idx="83">
                  <c:v>40877</c:v>
                </c:pt>
                <c:pt idx="84">
                  <c:v>40907</c:v>
                </c:pt>
                <c:pt idx="85">
                  <c:v>40939</c:v>
                </c:pt>
                <c:pt idx="86">
                  <c:v>40968</c:v>
                </c:pt>
                <c:pt idx="87">
                  <c:v>40998</c:v>
                </c:pt>
                <c:pt idx="88">
                  <c:v>41029</c:v>
                </c:pt>
                <c:pt idx="89">
                  <c:v>41060</c:v>
                </c:pt>
                <c:pt idx="90">
                  <c:v>41089</c:v>
                </c:pt>
                <c:pt idx="91">
                  <c:v>41121</c:v>
                </c:pt>
                <c:pt idx="92">
                  <c:v>41152</c:v>
                </c:pt>
                <c:pt idx="93">
                  <c:v>41180</c:v>
                </c:pt>
                <c:pt idx="94">
                  <c:v>41213</c:v>
                </c:pt>
                <c:pt idx="95">
                  <c:v>41243</c:v>
                </c:pt>
                <c:pt idx="96">
                  <c:v>41274</c:v>
                </c:pt>
                <c:pt idx="97">
                  <c:v>41305</c:v>
                </c:pt>
                <c:pt idx="98">
                  <c:v>41333</c:v>
                </c:pt>
                <c:pt idx="99">
                  <c:v>41361</c:v>
                </c:pt>
                <c:pt idx="100">
                  <c:v>41394</c:v>
                </c:pt>
                <c:pt idx="101">
                  <c:v>41425</c:v>
                </c:pt>
                <c:pt idx="102">
                  <c:v>41453</c:v>
                </c:pt>
                <c:pt idx="103">
                  <c:v>41486</c:v>
                </c:pt>
                <c:pt idx="104">
                  <c:v>41516</c:v>
                </c:pt>
                <c:pt idx="105">
                  <c:v>41547</c:v>
                </c:pt>
                <c:pt idx="106">
                  <c:v>41578</c:v>
                </c:pt>
                <c:pt idx="107">
                  <c:v>41607</c:v>
                </c:pt>
                <c:pt idx="108">
                  <c:v>41639</c:v>
                </c:pt>
                <c:pt idx="109">
                  <c:v>41670</c:v>
                </c:pt>
                <c:pt idx="110">
                  <c:v>41698</c:v>
                </c:pt>
                <c:pt idx="111">
                  <c:v>41729</c:v>
                </c:pt>
                <c:pt idx="112">
                  <c:v>41759</c:v>
                </c:pt>
                <c:pt idx="113">
                  <c:v>41789</c:v>
                </c:pt>
                <c:pt idx="114">
                  <c:v>41820</c:v>
                </c:pt>
                <c:pt idx="115">
                  <c:v>41851</c:v>
                </c:pt>
                <c:pt idx="116">
                  <c:v>41880</c:v>
                </c:pt>
                <c:pt idx="117">
                  <c:v>41912</c:v>
                </c:pt>
                <c:pt idx="118">
                  <c:v>41943</c:v>
                </c:pt>
                <c:pt idx="119">
                  <c:v>41971</c:v>
                </c:pt>
                <c:pt idx="120">
                  <c:v>42004</c:v>
                </c:pt>
                <c:pt idx="121">
                  <c:v>42034</c:v>
                </c:pt>
                <c:pt idx="122">
                  <c:v>42062</c:v>
                </c:pt>
                <c:pt idx="123">
                  <c:v>42094</c:v>
                </c:pt>
                <c:pt idx="124">
                  <c:v>42124</c:v>
                </c:pt>
                <c:pt idx="125">
                  <c:v>42153</c:v>
                </c:pt>
                <c:pt idx="126">
                  <c:v>42185</c:v>
                </c:pt>
                <c:pt idx="127">
                  <c:v>42216</c:v>
                </c:pt>
                <c:pt idx="128">
                  <c:v>42247</c:v>
                </c:pt>
                <c:pt idx="129">
                  <c:v>42277</c:v>
                </c:pt>
                <c:pt idx="130">
                  <c:v>42307</c:v>
                </c:pt>
                <c:pt idx="131">
                  <c:v>42338</c:v>
                </c:pt>
                <c:pt idx="132">
                  <c:v>42369</c:v>
                </c:pt>
                <c:pt idx="133">
                  <c:v>42398</c:v>
                </c:pt>
                <c:pt idx="134">
                  <c:v>42429</c:v>
                </c:pt>
                <c:pt idx="135">
                  <c:v>42460</c:v>
                </c:pt>
                <c:pt idx="136">
                  <c:v>42489</c:v>
                </c:pt>
                <c:pt idx="137">
                  <c:v>42521</c:v>
                </c:pt>
                <c:pt idx="138">
                  <c:v>42551</c:v>
                </c:pt>
                <c:pt idx="139">
                  <c:v>42580</c:v>
                </c:pt>
                <c:pt idx="140">
                  <c:v>42613</c:v>
                </c:pt>
                <c:pt idx="141">
                  <c:v>42643</c:v>
                </c:pt>
                <c:pt idx="142">
                  <c:v>42674</c:v>
                </c:pt>
                <c:pt idx="143">
                  <c:v>42704</c:v>
                </c:pt>
                <c:pt idx="144">
                  <c:v>42734</c:v>
                </c:pt>
                <c:pt idx="145">
                  <c:v>42766</c:v>
                </c:pt>
                <c:pt idx="146">
                  <c:v>42794</c:v>
                </c:pt>
                <c:pt idx="147">
                  <c:v>42825</c:v>
                </c:pt>
                <c:pt idx="148">
                  <c:v>42853</c:v>
                </c:pt>
                <c:pt idx="149">
                  <c:v>42886</c:v>
                </c:pt>
                <c:pt idx="150">
                  <c:v>42916</c:v>
                </c:pt>
                <c:pt idx="151">
                  <c:v>42947</c:v>
                </c:pt>
                <c:pt idx="152">
                  <c:v>42978</c:v>
                </c:pt>
                <c:pt idx="153">
                  <c:v>43007</c:v>
                </c:pt>
                <c:pt idx="154">
                  <c:v>43039</c:v>
                </c:pt>
                <c:pt idx="155">
                  <c:v>43069</c:v>
                </c:pt>
                <c:pt idx="156">
                  <c:v>43098</c:v>
                </c:pt>
                <c:pt idx="157">
                  <c:v>43131</c:v>
                </c:pt>
                <c:pt idx="158">
                  <c:v>43159</c:v>
                </c:pt>
                <c:pt idx="159">
                  <c:v>43188</c:v>
                </c:pt>
                <c:pt idx="160">
                  <c:v>43220</c:v>
                </c:pt>
                <c:pt idx="161">
                  <c:v>43251</c:v>
                </c:pt>
                <c:pt idx="162">
                  <c:v>43280</c:v>
                </c:pt>
                <c:pt idx="163">
                  <c:v>43312</c:v>
                </c:pt>
                <c:pt idx="164">
                  <c:v>43343</c:v>
                </c:pt>
                <c:pt idx="165">
                  <c:v>43371</c:v>
                </c:pt>
                <c:pt idx="166">
                  <c:v>43404</c:v>
                </c:pt>
                <c:pt idx="167">
                  <c:v>43434</c:v>
                </c:pt>
                <c:pt idx="168">
                  <c:v>43465</c:v>
                </c:pt>
                <c:pt idx="169">
                  <c:v>43496</c:v>
                </c:pt>
                <c:pt idx="170">
                  <c:v>43524</c:v>
                </c:pt>
                <c:pt idx="171">
                  <c:v>43553</c:v>
                </c:pt>
                <c:pt idx="172">
                  <c:v>43585</c:v>
                </c:pt>
                <c:pt idx="173">
                  <c:v>43616</c:v>
                </c:pt>
                <c:pt idx="174">
                  <c:v>43644</c:v>
                </c:pt>
                <c:pt idx="175">
                  <c:v>43677</c:v>
                </c:pt>
                <c:pt idx="176">
                  <c:v>43707</c:v>
                </c:pt>
                <c:pt idx="177">
                  <c:v>43738</c:v>
                </c:pt>
                <c:pt idx="178">
                  <c:v>43769</c:v>
                </c:pt>
                <c:pt idx="179">
                  <c:v>43798</c:v>
                </c:pt>
                <c:pt idx="180">
                  <c:v>43830</c:v>
                </c:pt>
                <c:pt idx="181">
                  <c:v>43861</c:v>
                </c:pt>
                <c:pt idx="182">
                  <c:v>43889</c:v>
                </c:pt>
                <c:pt idx="183">
                  <c:v>43921</c:v>
                </c:pt>
                <c:pt idx="184">
                  <c:v>43951</c:v>
                </c:pt>
                <c:pt idx="185">
                  <c:v>43980</c:v>
                </c:pt>
                <c:pt idx="186">
                  <c:v>44012</c:v>
                </c:pt>
                <c:pt idx="187">
                  <c:v>44043</c:v>
                </c:pt>
                <c:pt idx="188">
                  <c:v>44074</c:v>
                </c:pt>
                <c:pt idx="189">
                  <c:v>44104</c:v>
                </c:pt>
                <c:pt idx="190">
                  <c:v>44134</c:v>
                </c:pt>
                <c:pt idx="191">
                  <c:v>44165</c:v>
                </c:pt>
                <c:pt idx="192">
                  <c:v>44196</c:v>
                </c:pt>
                <c:pt idx="193">
                  <c:v>44225</c:v>
                </c:pt>
                <c:pt idx="194">
                  <c:v>44253</c:v>
                </c:pt>
                <c:pt idx="195">
                  <c:v>44286</c:v>
                </c:pt>
                <c:pt idx="196">
                  <c:v>44316</c:v>
                </c:pt>
                <c:pt idx="197">
                  <c:v>44344</c:v>
                </c:pt>
                <c:pt idx="198">
                  <c:v>44377</c:v>
                </c:pt>
                <c:pt idx="199">
                  <c:v>44407</c:v>
                </c:pt>
                <c:pt idx="200">
                  <c:v>44439</c:v>
                </c:pt>
                <c:pt idx="201">
                  <c:v>44469</c:v>
                </c:pt>
                <c:pt idx="202">
                  <c:v>44498</c:v>
                </c:pt>
                <c:pt idx="203">
                  <c:v>44530</c:v>
                </c:pt>
                <c:pt idx="204">
                  <c:v>44561</c:v>
                </c:pt>
                <c:pt idx="205">
                  <c:v>44592</c:v>
                </c:pt>
                <c:pt idx="206">
                  <c:v>44620</c:v>
                </c:pt>
                <c:pt idx="207">
                  <c:v>44651</c:v>
                </c:pt>
                <c:pt idx="208">
                  <c:v>44680</c:v>
                </c:pt>
                <c:pt idx="209">
                  <c:v>44712</c:v>
                </c:pt>
                <c:pt idx="210">
                  <c:v>44742</c:v>
                </c:pt>
                <c:pt idx="211">
                  <c:v>44771</c:v>
                </c:pt>
                <c:pt idx="212">
                  <c:v>44804</c:v>
                </c:pt>
                <c:pt idx="213">
                  <c:v>44834</c:v>
                </c:pt>
                <c:pt idx="214">
                  <c:v>44865</c:v>
                </c:pt>
                <c:pt idx="215">
                  <c:v>44895</c:v>
                </c:pt>
                <c:pt idx="216">
                  <c:v>44925</c:v>
                </c:pt>
                <c:pt idx="217">
                  <c:v>44957</c:v>
                </c:pt>
                <c:pt idx="218">
                  <c:v>44985</c:v>
                </c:pt>
                <c:pt idx="219">
                  <c:v>45016</c:v>
                </c:pt>
                <c:pt idx="220">
                  <c:v>45044</c:v>
                </c:pt>
                <c:pt idx="221">
                  <c:v>45077</c:v>
                </c:pt>
                <c:pt idx="222">
                  <c:v>45107</c:v>
                </c:pt>
                <c:pt idx="223">
                  <c:v>45138</c:v>
                </c:pt>
                <c:pt idx="224">
                  <c:v>45169</c:v>
                </c:pt>
                <c:pt idx="225">
                  <c:v>45198</c:v>
                </c:pt>
                <c:pt idx="226">
                  <c:v>45230</c:v>
                </c:pt>
                <c:pt idx="227">
                  <c:v>45260</c:v>
                </c:pt>
                <c:pt idx="228">
                  <c:v>45289</c:v>
                </c:pt>
                <c:pt idx="229">
                  <c:v>45322</c:v>
                </c:pt>
                <c:pt idx="230">
                  <c:v>45351</c:v>
                </c:pt>
                <c:pt idx="231">
                  <c:v>45379</c:v>
                </c:pt>
                <c:pt idx="232">
                  <c:v>45412</c:v>
                </c:pt>
                <c:pt idx="233">
                  <c:v>45443</c:v>
                </c:pt>
                <c:pt idx="234">
                  <c:v>45471</c:v>
                </c:pt>
                <c:pt idx="235">
                  <c:v>45504</c:v>
                </c:pt>
                <c:pt idx="236">
                  <c:v>45534</c:v>
                </c:pt>
                <c:pt idx="237">
                  <c:v>45565</c:v>
                </c:pt>
                <c:pt idx="238">
                  <c:v>45596</c:v>
                </c:pt>
                <c:pt idx="239">
                  <c:v>45625</c:v>
                </c:pt>
                <c:pt idx="240">
                  <c:v>45657</c:v>
                </c:pt>
              </c:numCache>
            </c:numRef>
          </c:xVal>
          <c:yVal>
            <c:numRef>
              <c:f>'Task 1 GRAPH student '!$U$5:$U$245</c:f>
              <c:numCache>
                <c:formatCode>0.000</c:formatCode>
                <c:ptCount val="241"/>
                <c:pt idx="0">
                  <c:v>100</c:v>
                </c:pt>
                <c:pt idx="1">
                  <c:v>102.01828889349235</c:v>
                </c:pt>
                <c:pt idx="2">
                  <c:v>103.43740203108875</c:v>
                </c:pt>
                <c:pt idx="3">
                  <c:v>105.89720214623945</c:v>
                </c:pt>
                <c:pt idx="4">
                  <c:v>108.21507290270441</c:v>
                </c:pt>
                <c:pt idx="5">
                  <c:v>105.80258658376587</c:v>
                </c:pt>
                <c:pt idx="6">
                  <c:v>102.49133061600806</c:v>
                </c:pt>
                <c:pt idx="7">
                  <c:v>100.85146788255786</c:v>
                </c:pt>
                <c:pt idx="8">
                  <c:v>99.952698233738573</c:v>
                </c:pt>
                <c:pt idx="9">
                  <c:v>99.779250404146197</c:v>
                </c:pt>
                <c:pt idx="10">
                  <c:v>98.738569441567279</c:v>
                </c:pt>
                <c:pt idx="11">
                  <c:v>97.366764085207663</c:v>
                </c:pt>
                <c:pt idx="12">
                  <c:v>94.765058671272698</c:v>
                </c:pt>
                <c:pt idx="13">
                  <c:v>90.728480884288004</c:v>
                </c:pt>
                <c:pt idx="14">
                  <c:v>90.90192871388038</c:v>
                </c:pt>
                <c:pt idx="15">
                  <c:v>93.377488064484382</c:v>
                </c:pt>
                <c:pt idx="16">
                  <c:v>92.415645383999632</c:v>
                </c:pt>
                <c:pt idx="17">
                  <c:v>94.954277766269129</c:v>
                </c:pt>
                <c:pt idx="18">
                  <c:v>94.481236043753412</c:v>
                </c:pt>
                <c:pt idx="19">
                  <c:v>98.62819464364037</c:v>
                </c:pt>
                <c:pt idx="20">
                  <c:v>101.9552278917776</c:v>
                </c:pt>
                <c:pt idx="21">
                  <c:v>102.39672708348522</c:v>
                </c:pt>
                <c:pt idx="22">
                  <c:v>106.27562830628159</c:v>
                </c:pt>
                <c:pt idx="23">
                  <c:v>103.92621501900851</c:v>
                </c:pt>
                <c:pt idx="24">
                  <c:v>104.09965081865018</c:v>
                </c:pt>
                <c:pt idx="25">
                  <c:v>105.32955689120089</c:v>
                </c:pt>
                <c:pt idx="26">
                  <c:v>99.227376414511681</c:v>
                </c:pt>
                <c:pt idx="27">
                  <c:v>95.017344782959228</c:v>
                </c:pt>
                <c:pt idx="28">
                  <c:v>101.26143657340809</c:v>
                </c:pt>
                <c:pt idx="29">
                  <c:v>99.763485153717511</c:v>
                </c:pt>
                <c:pt idx="30">
                  <c:v>97.161779739782546</c:v>
                </c:pt>
                <c:pt idx="31">
                  <c:v>95.395776957976736</c:v>
                </c:pt>
                <c:pt idx="32">
                  <c:v>97.429837116873145</c:v>
                </c:pt>
                <c:pt idx="33">
                  <c:v>103.59507859527707</c:v>
                </c:pt>
                <c:pt idx="34">
                  <c:v>102.75938197812329</c:v>
                </c:pt>
                <c:pt idx="35">
                  <c:v>106.81173103051205</c:v>
                </c:pt>
                <c:pt idx="36">
                  <c:v>105.17186829706182</c:v>
                </c:pt>
                <c:pt idx="37">
                  <c:v>99.558500808292393</c:v>
                </c:pt>
                <c:pt idx="38">
                  <c:v>97.697888478988375</c:v>
                </c:pt>
                <c:pt idx="39">
                  <c:v>102.28635228555831</c:v>
                </c:pt>
                <c:pt idx="40">
                  <c:v>105.78681531836183</c:v>
                </c:pt>
                <c:pt idx="41">
                  <c:v>105.2349413287273</c:v>
                </c:pt>
                <c:pt idx="42">
                  <c:v>101.45064363845377</c:v>
                </c:pt>
                <c:pt idx="43">
                  <c:v>107.96279280599323</c:v>
                </c:pt>
                <c:pt idx="44">
                  <c:v>111.05329917789723</c:v>
                </c:pt>
                <c:pt idx="45">
                  <c:v>109.23998861485462</c:v>
                </c:pt>
                <c:pt idx="46">
                  <c:v>96.720280548074939</c:v>
                </c:pt>
                <c:pt idx="47">
                  <c:v>92.368343617738219</c:v>
                </c:pt>
                <c:pt idx="48">
                  <c:v>94.339330744969132</c:v>
                </c:pt>
                <c:pt idx="49">
                  <c:v>90.964995730570479</c:v>
                </c:pt>
                <c:pt idx="50">
                  <c:v>78.839485089236973</c:v>
                </c:pt>
                <c:pt idx="51">
                  <c:v>82.939135907887149</c:v>
                </c:pt>
                <c:pt idx="52">
                  <c:v>82.560709747845024</c:v>
                </c:pt>
                <c:pt idx="53">
                  <c:v>86.975719709847212</c:v>
                </c:pt>
                <c:pt idx="54">
                  <c:v>89.561653858378136</c:v>
                </c:pt>
                <c:pt idx="55">
                  <c:v>96.010723979276719</c:v>
                </c:pt>
                <c:pt idx="56">
                  <c:v>95.301167410478513</c:v>
                </c:pt>
                <c:pt idx="57">
                  <c:v>96.010723979276719</c:v>
                </c:pt>
                <c:pt idx="58">
                  <c:v>93.109430687393797</c:v>
                </c:pt>
                <c:pt idx="59">
                  <c:v>99.085465100752032</c:v>
                </c:pt>
                <c:pt idx="60">
                  <c:v>101.56103046633143</c:v>
                </c:pt>
                <c:pt idx="61">
                  <c:v>99.117001616584773</c:v>
                </c:pt>
                <c:pt idx="62">
                  <c:v>99.33775121243859</c:v>
                </c:pt>
                <c:pt idx="63">
                  <c:v>102.80668374438473</c:v>
                </c:pt>
                <c:pt idx="64">
                  <c:v>101.38758263673904</c:v>
                </c:pt>
                <c:pt idx="65">
                  <c:v>91.926838411055229</c:v>
                </c:pt>
                <c:pt idx="66">
                  <c:v>93.125201952797838</c:v>
                </c:pt>
                <c:pt idx="67">
                  <c:v>91.595714017274531</c:v>
                </c:pt>
                <c:pt idx="68">
                  <c:v>89.908549517562889</c:v>
                </c:pt>
                <c:pt idx="69">
                  <c:v>97.697888478988375</c:v>
                </c:pt>
                <c:pt idx="70">
                  <c:v>100.50457823834844</c:v>
                </c:pt>
                <c:pt idx="71">
                  <c:v>97.051404941855637</c:v>
                </c:pt>
                <c:pt idx="72">
                  <c:v>97.524440649395999</c:v>
                </c:pt>
                <c:pt idx="73">
                  <c:v>94.244721197470909</c:v>
                </c:pt>
                <c:pt idx="74">
                  <c:v>96.87795711226326</c:v>
                </c:pt>
                <c:pt idx="75">
                  <c:v>93.424789830745809</c:v>
                </c:pt>
                <c:pt idx="76">
                  <c:v>103.62662112608518</c:v>
                </c:pt>
                <c:pt idx="77">
                  <c:v>106.1021804766892</c:v>
                </c:pt>
                <c:pt idx="78">
                  <c:v>104.88804566954255</c:v>
                </c:pt>
                <c:pt idx="79">
                  <c:v>102.16020622222734</c:v>
                </c:pt>
                <c:pt idx="80">
                  <c:v>103.75276718941615</c:v>
                </c:pt>
                <c:pt idx="81">
                  <c:v>100.42573394127892</c:v>
                </c:pt>
                <c:pt idx="82">
                  <c:v>101.52948793552332</c:v>
                </c:pt>
                <c:pt idx="83">
                  <c:v>102.04983142430046</c:v>
                </c:pt>
                <c:pt idx="84">
                  <c:v>103.40587153023139</c:v>
                </c:pt>
                <c:pt idx="85">
                  <c:v>103.92621501900851</c:v>
                </c:pt>
                <c:pt idx="86">
                  <c:v>102.61747667933902</c:v>
                </c:pt>
                <c:pt idx="87">
                  <c:v>104.00504728612732</c:v>
                </c:pt>
                <c:pt idx="88">
                  <c:v>102.64900718019638</c:v>
                </c:pt>
                <c:pt idx="89">
                  <c:v>98.438981563619308</c:v>
                </c:pt>
                <c:pt idx="90">
                  <c:v>106.52790840299275</c:v>
                </c:pt>
                <c:pt idx="91">
                  <c:v>109.14538508233179</c:v>
                </c:pt>
                <c:pt idx="92">
                  <c:v>106.32293007254302</c:v>
                </c:pt>
                <c:pt idx="93">
                  <c:v>108.65658412436274</c:v>
                </c:pt>
                <c:pt idx="94">
                  <c:v>111.66824619919721</c:v>
                </c:pt>
                <c:pt idx="95">
                  <c:v>109.9495511986282</c:v>
                </c:pt>
                <c:pt idx="96">
                  <c:v>110.53295568912009</c:v>
                </c:pt>
                <c:pt idx="97">
                  <c:v>116.55629186873978</c:v>
                </c:pt>
                <c:pt idx="98">
                  <c:v>120.00946516523258</c:v>
                </c:pt>
                <c:pt idx="99">
                  <c:v>128.55566246171767</c:v>
                </c:pt>
                <c:pt idx="100">
                  <c:v>134.38979157629169</c:v>
                </c:pt>
                <c:pt idx="101">
                  <c:v>132.73415757743737</c:v>
                </c:pt>
                <c:pt idx="102">
                  <c:v>135.38316475763378</c:v>
                </c:pt>
                <c:pt idx="103">
                  <c:v>147.42983711687313</c:v>
                </c:pt>
                <c:pt idx="104">
                  <c:v>136.25040390559568</c:v>
                </c:pt>
                <c:pt idx="105">
                  <c:v>136.69190309730331</c:v>
                </c:pt>
                <c:pt idx="106">
                  <c:v>146.02649524468077</c:v>
                </c:pt>
                <c:pt idx="107">
                  <c:v>149.25891894531978</c:v>
                </c:pt>
                <c:pt idx="108">
                  <c:v>144.41816301208794</c:v>
                </c:pt>
                <c:pt idx="109">
                  <c:v>139.49858684168802</c:v>
                </c:pt>
                <c:pt idx="110">
                  <c:v>145.25387165919247</c:v>
                </c:pt>
                <c:pt idx="111">
                  <c:v>154.88805769949329</c:v>
                </c:pt>
                <c:pt idx="112">
                  <c:v>159.71303033737036</c:v>
                </c:pt>
                <c:pt idx="113">
                  <c:v>159.98108169948557</c:v>
                </c:pt>
                <c:pt idx="114">
                  <c:v>164.96374293150171</c:v>
                </c:pt>
                <c:pt idx="115">
                  <c:v>157.82087547725823</c:v>
                </c:pt>
                <c:pt idx="116">
                  <c:v>163.56040105930933</c:v>
                </c:pt>
                <c:pt idx="117">
                  <c:v>168.07000853885904</c:v>
                </c:pt>
                <c:pt idx="118">
                  <c:v>169.94639213356712</c:v>
                </c:pt>
                <c:pt idx="119">
                  <c:v>170.68748521819805</c:v>
                </c:pt>
                <c:pt idx="120">
                  <c:v>164.88489863443218</c:v>
                </c:pt>
                <c:pt idx="121">
                  <c:v>157.89971977432776</c:v>
                </c:pt>
                <c:pt idx="122">
                  <c:v>161.63671569833983</c:v>
                </c:pt>
                <c:pt idx="123">
                  <c:v>158.62504159355464</c:v>
                </c:pt>
                <c:pt idx="124">
                  <c:v>156.41753360506584</c:v>
                </c:pt>
                <c:pt idx="125">
                  <c:v>157.89971977432776</c:v>
                </c:pt>
                <c:pt idx="126">
                  <c:v>153.67392289234664</c:v>
                </c:pt>
                <c:pt idx="127">
                  <c:v>158.01009457225464</c:v>
                </c:pt>
                <c:pt idx="128">
                  <c:v>148.18670146690812</c:v>
                </c:pt>
                <c:pt idx="129">
                  <c:v>147.19331625561526</c:v>
                </c:pt>
                <c:pt idx="130">
                  <c:v>159.30306164652009</c:v>
                </c:pt>
                <c:pt idx="131">
                  <c:v>159.63418604030082</c:v>
                </c:pt>
                <c:pt idx="132">
                  <c:v>161.96784009212055</c:v>
                </c:pt>
                <c:pt idx="133">
                  <c:v>164.67992030398241</c:v>
                </c:pt>
                <c:pt idx="134">
                  <c:v>165.89404308117835</c:v>
                </c:pt>
                <c:pt idx="135">
                  <c:v>170.60864092112851</c:v>
                </c:pt>
                <c:pt idx="136">
                  <c:v>176.72659266322177</c:v>
                </c:pt>
                <c:pt idx="137">
                  <c:v>177.68843534370654</c:v>
                </c:pt>
                <c:pt idx="138">
                  <c:v>191.26459563846919</c:v>
                </c:pt>
                <c:pt idx="139">
                  <c:v>197.46137964768124</c:v>
                </c:pt>
                <c:pt idx="140">
                  <c:v>188.17407723661447</c:v>
                </c:pt>
                <c:pt idx="141">
                  <c:v>186.26616314104899</c:v>
                </c:pt>
                <c:pt idx="142">
                  <c:v>182.89183414162574</c:v>
                </c:pt>
                <c:pt idx="143">
                  <c:v>175.49669862062177</c:v>
                </c:pt>
                <c:pt idx="144">
                  <c:v>181.66194009902574</c:v>
                </c:pt>
                <c:pt idx="145">
                  <c:v>178.57143372712173</c:v>
                </c:pt>
                <c:pt idx="146">
                  <c:v>192.69946801151892</c:v>
                </c:pt>
                <c:pt idx="147">
                  <c:v>196.38916216926958</c:v>
                </c:pt>
                <c:pt idx="148">
                  <c:v>194.6862264041539</c:v>
                </c:pt>
                <c:pt idx="149">
                  <c:v>202.22327925389285</c:v>
                </c:pt>
                <c:pt idx="150">
                  <c:v>208.59349906274653</c:v>
                </c:pt>
                <c:pt idx="151">
                  <c:v>209.27153114566272</c:v>
                </c:pt>
                <c:pt idx="152">
                  <c:v>208.71964512607749</c:v>
                </c:pt>
                <c:pt idx="153">
                  <c:v>204.99842046746943</c:v>
                </c:pt>
                <c:pt idx="154">
                  <c:v>219.82025810018686</c:v>
                </c:pt>
                <c:pt idx="155">
                  <c:v>219.69411203685593</c:v>
                </c:pt>
                <c:pt idx="156">
                  <c:v>220.30905905815592</c:v>
                </c:pt>
                <c:pt idx="157">
                  <c:v>217.89657273921739</c:v>
                </c:pt>
                <c:pt idx="158">
                  <c:v>204.79345416697043</c:v>
                </c:pt>
                <c:pt idx="159">
                  <c:v>202.06559065975375</c:v>
                </c:pt>
                <c:pt idx="160">
                  <c:v>199.44812601036548</c:v>
                </c:pt>
                <c:pt idx="161">
                  <c:v>188.61558845827281</c:v>
                </c:pt>
                <c:pt idx="162">
                  <c:v>191.32765664018393</c:v>
                </c:pt>
                <c:pt idx="163">
                  <c:v>208.95617801728608</c:v>
                </c:pt>
                <c:pt idx="164">
                  <c:v>212.37780878297076</c:v>
                </c:pt>
                <c:pt idx="165">
                  <c:v>217.86503020840925</c:v>
                </c:pt>
                <c:pt idx="166">
                  <c:v>220.73479901441019</c:v>
                </c:pt>
                <c:pt idx="167">
                  <c:v>231.63039756821763</c:v>
                </c:pt>
                <c:pt idx="168">
                  <c:v>203.4847158273009</c:v>
                </c:pt>
                <c:pt idx="169">
                  <c:v>209.83917640070132</c:v>
                </c:pt>
                <c:pt idx="170">
                  <c:v>215.45254388947072</c:v>
                </c:pt>
                <c:pt idx="171">
                  <c:v>220.41942182613207</c:v>
                </c:pt>
                <c:pt idx="172">
                  <c:v>222.64270108002492</c:v>
                </c:pt>
                <c:pt idx="173">
                  <c:v>206.79595976510799</c:v>
                </c:pt>
                <c:pt idx="174">
                  <c:v>219.61526773978642</c:v>
                </c:pt>
                <c:pt idx="175">
                  <c:v>205.32955689120089</c:v>
                </c:pt>
                <c:pt idx="176">
                  <c:v>202.39672708348522</c:v>
                </c:pt>
                <c:pt idx="177">
                  <c:v>204.00505931607805</c:v>
                </c:pt>
                <c:pt idx="178">
                  <c:v>208.19930163730035</c:v>
                </c:pt>
                <c:pt idx="179">
                  <c:v>216.79282475994833</c:v>
                </c:pt>
                <c:pt idx="180">
                  <c:v>230.00630610017146</c:v>
                </c:pt>
                <c:pt idx="181">
                  <c:v>234.73667520552567</c:v>
                </c:pt>
                <c:pt idx="182">
                  <c:v>212.04667235923935</c:v>
                </c:pt>
                <c:pt idx="183">
                  <c:v>206.76444129420136</c:v>
                </c:pt>
                <c:pt idx="184">
                  <c:v>236.58151626942566</c:v>
                </c:pt>
                <c:pt idx="185">
                  <c:v>234.54746814047999</c:v>
                </c:pt>
                <c:pt idx="186">
                  <c:v>221.74394346115639</c:v>
                </c:pt>
                <c:pt idx="187">
                  <c:v>229.8328582705791</c:v>
                </c:pt>
                <c:pt idx="188">
                  <c:v>241.89531392517321</c:v>
                </c:pt>
                <c:pt idx="189">
                  <c:v>234.75245850088049</c:v>
                </c:pt>
                <c:pt idx="190">
                  <c:v>216.19363697410168</c:v>
                </c:pt>
                <c:pt idx="191">
                  <c:v>228.12992250546341</c:v>
                </c:pt>
                <c:pt idx="192">
                  <c:v>248.15517096605078</c:v>
                </c:pt>
                <c:pt idx="193">
                  <c:v>257.22171175131302</c:v>
                </c:pt>
                <c:pt idx="194">
                  <c:v>249.85810673116643</c:v>
                </c:pt>
                <c:pt idx="195">
                  <c:v>259.14539711228252</c:v>
                </c:pt>
                <c:pt idx="196">
                  <c:v>256.59098143465826</c:v>
                </c:pt>
                <c:pt idx="197">
                  <c:v>266.87165702706716</c:v>
                </c:pt>
                <c:pt idx="198">
                  <c:v>259.76034413358252</c:v>
                </c:pt>
                <c:pt idx="199">
                  <c:v>271.52318183535186</c:v>
                </c:pt>
                <c:pt idx="200">
                  <c:v>272.98960876916038</c:v>
                </c:pt>
                <c:pt idx="201">
                  <c:v>254.65153683823542</c:v>
                </c:pt>
                <c:pt idx="202">
                  <c:v>256.82751432586684</c:v>
                </c:pt>
                <c:pt idx="203">
                  <c:v>245.86880665054173</c:v>
                </c:pt>
                <c:pt idx="204">
                  <c:v>269.74142583306804</c:v>
                </c:pt>
                <c:pt idx="205">
                  <c:v>271.66508713413612</c:v>
                </c:pt>
                <c:pt idx="206">
                  <c:v>259.49229277146725</c:v>
                </c:pt>
                <c:pt idx="207">
                  <c:v>279.45443211053697</c:v>
                </c:pt>
                <c:pt idx="208">
                  <c:v>284.54748017043073</c:v>
                </c:pt>
                <c:pt idx="209">
                  <c:v>283.08105323662215</c:v>
                </c:pt>
                <c:pt idx="210">
                  <c:v>279.89593130224455</c:v>
                </c:pt>
                <c:pt idx="211">
                  <c:v>275.1813454922451</c:v>
                </c:pt>
                <c:pt idx="212">
                  <c:v>254.39924471157349</c:v>
                </c:pt>
                <c:pt idx="213">
                  <c:v>257.58436664595109</c:v>
                </c:pt>
                <c:pt idx="214">
                  <c:v>274.31410634428323</c:v>
                </c:pt>
                <c:pt idx="215">
                  <c:v>280.66856691768362</c:v>
                </c:pt>
                <c:pt idx="216">
                  <c:v>278.53989119631365</c:v>
                </c:pt>
                <c:pt idx="217">
                  <c:v>257.67897017847395</c:v>
                </c:pt>
                <c:pt idx="218">
                  <c:v>241.65878103396463</c:v>
                </c:pt>
                <c:pt idx="219">
                  <c:v>244.40240377663463</c:v>
                </c:pt>
                <c:pt idx="220">
                  <c:v>258.12046937018158</c:v>
                </c:pt>
                <c:pt idx="221">
                  <c:v>244.49700730915745</c:v>
                </c:pt>
                <c:pt idx="222">
                  <c:v>260.99023817618246</c:v>
                </c:pt>
                <c:pt idx="223">
                  <c:v>264.1595768152053</c:v>
                </c:pt>
                <c:pt idx="224">
                  <c:v>254.935347435804</c:v>
                </c:pt>
                <c:pt idx="225">
                  <c:v>245.58499605297314</c:v>
                </c:pt>
                <c:pt idx="226">
                  <c:v>233.90097858837188</c:v>
                </c:pt>
                <c:pt idx="227">
                  <c:v>243.86630105240417</c:v>
                </c:pt>
                <c:pt idx="228">
                  <c:v>247.14602651930457</c:v>
                </c:pt>
                <c:pt idx="229">
                  <c:v>250.55187398963449</c:v>
                </c:pt>
                <c:pt idx="230">
                  <c:v>254.46232977318971</c:v>
                </c:pt>
                <c:pt idx="231">
                  <c:v>249.4323667749122</c:v>
                </c:pt>
                <c:pt idx="232">
                  <c:v>227.98801720667913</c:v>
                </c:pt>
                <c:pt idx="233">
                  <c:v>231.26774267357953</c:v>
                </c:pt>
                <c:pt idx="234">
                  <c:v>230.46358858723389</c:v>
                </c:pt>
                <c:pt idx="235">
                  <c:v>248.89626405068168</c:v>
                </c:pt>
                <c:pt idx="236">
                  <c:v>261.52634090041295</c:v>
                </c:pt>
                <c:pt idx="237">
                  <c:v>255.53453522165066</c:v>
                </c:pt>
                <c:pt idx="238">
                  <c:v>252.06560268970449</c:v>
                </c:pt>
                <c:pt idx="239">
                  <c:v>244.41816301208794</c:v>
                </c:pt>
                <c:pt idx="240">
                  <c:v>228.03531897294053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7E-4227-A803-DD3D24B65BE6}"/>
            </c:ext>
          </c:extLst>
        </c:ser>
        <c:ser>
          <c:idx val="2"/>
          <c:order val="2"/>
          <c:tx>
            <c:v>AMD Index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'Task 1 GRAPH student '!$O$5:$O$245</c:f>
              <c:numCache>
                <c:formatCode>m/d/yyyy</c:formatCode>
                <c:ptCount val="241"/>
                <c:pt idx="0">
                  <c:v>38352</c:v>
                </c:pt>
                <c:pt idx="1">
                  <c:v>38383</c:v>
                </c:pt>
                <c:pt idx="2">
                  <c:v>38411</c:v>
                </c:pt>
                <c:pt idx="3">
                  <c:v>38442</c:v>
                </c:pt>
                <c:pt idx="4">
                  <c:v>38471</c:v>
                </c:pt>
                <c:pt idx="5">
                  <c:v>38503</c:v>
                </c:pt>
                <c:pt idx="6">
                  <c:v>38533</c:v>
                </c:pt>
                <c:pt idx="7">
                  <c:v>38562</c:v>
                </c:pt>
                <c:pt idx="8">
                  <c:v>38595</c:v>
                </c:pt>
                <c:pt idx="9">
                  <c:v>38625</c:v>
                </c:pt>
                <c:pt idx="10">
                  <c:v>38656</c:v>
                </c:pt>
                <c:pt idx="11">
                  <c:v>38686</c:v>
                </c:pt>
                <c:pt idx="12">
                  <c:v>38716</c:v>
                </c:pt>
                <c:pt idx="13">
                  <c:v>38748</c:v>
                </c:pt>
                <c:pt idx="14">
                  <c:v>38776</c:v>
                </c:pt>
                <c:pt idx="15">
                  <c:v>38807</c:v>
                </c:pt>
                <c:pt idx="16">
                  <c:v>38835</c:v>
                </c:pt>
                <c:pt idx="17">
                  <c:v>38868</c:v>
                </c:pt>
                <c:pt idx="18">
                  <c:v>38898</c:v>
                </c:pt>
                <c:pt idx="19">
                  <c:v>38929</c:v>
                </c:pt>
                <c:pt idx="20">
                  <c:v>38960</c:v>
                </c:pt>
                <c:pt idx="21">
                  <c:v>38989</c:v>
                </c:pt>
                <c:pt idx="22">
                  <c:v>39021</c:v>
                </c:pt>
                <c:pt idx="23">
                  <c:v>39051</c:v>
                </c:pt>
                <c:pt idx="24">
                  <c:v>39080</c:v>
                </c:pt>
                <c:pt idx="25">
                  <c:v>39113</c:v>
                </c:pt>
                <c:pt idx="26">
                  <c:v>39141</c:v>
                </c:pt>
                <c:pt idx="27">
                  <c:v>39171</c:v>
                </c:pt>
                <c:pt idx="28">
                  <c:v>39202</c:v>
                </c:pt>
                <c:pt idx="29">
                  <c:v>39233</c:v>
                </c:pt>
                <c:pt idx="30">
                  <c:v>39262</c:v>
                </c:pt>
                <c:pt idx="31">
                  <c:v>39294</c:v>
                </c:pt>
                <c:pt idx="32">
                  <c:v>39325</c:v>
                </c:pt>
                <c:pt idx="33">
                  <c:v>39353</c:v>
                </c:pt>
                <c:pt idx="34">
                  <c:v>39386</c:v>
                </c:pt>
                <c:pt idx="35">
                  <c:v>39416</c:v>
                </c:pt>
                <c:pt idx="36">
                  <c:v>39447</c:v>
                </c:pt>
                <c:pt idx="37">
                  <c:v>39478</c:v>
                </c:pt>
                <c:pt idx="38">
                  <c:v>39507</c:v>
                </c:pt>
                <c:pt idx="39">
                  <c:v>39538</c:v>
                </c:pt>
                <c:pt idx="40">
                  <c:v>39568</c:v>
                </c:pt>
                <c:pt idx="41">
                  <c:v>39598</c:v>
                </c:pt>
                <c:pt idx="42">
                  <c:v>39629</c:v>
                </c:pt>
                <c:pt idx="43">
                  <c:v>39660</c:v>
                </c:pt>
                <c:pt idx="44">
                  <c:v>39689</c:v>
                </c:pt>
                <c:pt idx="45">
                  <c:v>39721</c:v>
                </c:pt>
                <c:pt idx="46">
                  <c:v>39752</c:v>
                </c:pt>
                <c:pt idx="47">
                  <c:v>39780</c:v>
                </c:pt>
                <c:pt idx="48">
                  <c:v>39813</c:v>
                </c:pt>
                <c:pt idx="49">
                  <c:v>39843</c:v>
                </c:pt>
                <c:pt idx="50">
                  <c:v>39871</c:v>
                </c:pt>
                <c:pt idx="51">
                  <c:v>39903</c:v>
                </c:pt>
                <c:pt idx="52">
                  <c:v>39933</c:v>
                </c:pt>
                <c:pt idx="53">
                  <c:v>39962</c:v>
                </c:pt>
                <c:pt idx="54">
                  <c:v>39994</c:v>
                </c:pt>
                <c:pt idx="55">
                  <c:v>40025</c:v>
                </c:pt>
                <c:pt idx="56">
                  <c:v>40056</c:v>
                </c:pt>
                <c:pt idx="57">
                  <c:v>40086</c:v>
                </c:pt>
                <c:pt idx="58">
                  <c:v>40116</c:v>
                </c:pt>
                <c:pt idx="59">
                  <c:v>40147</c:v>
                </c:pt>
                <c:pt idx="60">
                  <c:v>40178</c:v>
                </c:pt>
                <c:pt idx="61">
                  <c:v>40207</c:v>
                </c:pt>
                <c:pt idx="62">
                  <c:v>40235</c:v>
                </c:pt>
                <c:pt idx="63">
                  <c:v>40268</c:v>
                </c:pt>
                <c:pt idx="64">
                  <c:v>40298</c:v>
                </c:pt>
                <c:pt idx="65">
                  <c:v>40326</c:v>
                </c:pt>
                <c:pt idx="66">
                  <c:v>40359</c:v>
                </c:pt>
                <c:pt idx="67">
                  <c:v>40389</c:v>
                </c:pt>
                <c:pt idx="68">
                  <c:v>40421</c:v>
                </c:pt>
                <c:pt idx="69">
                  <c:v>40451</c:v>
                </c:pt>
                <c:pt idx="70">
                  <c:v>40480</c:v>
                </c:pt>
                <c:pt idx="71">
                  <c:v>40512</c:v>
                </c:pt>
                <c:pt idx="72">
                  <c:v>40543</c:v>
                </c:pt>
                <c:pt idx="73">
                  <c:v>40574</c:v>
                </c:pt>
                <c:pt idx="74">
                  <c:v>40602</c:v>
                </c:pt>
                <c:pt idx="75">
                  <c:v>40633</c:v>
                </c:pt>
                <c:pt idx="76">
                  <c:v>40662</c:v>
                </c:pt>
                <c:pt idx="77">
                  <c:v>40694</c:v>
                </c:pt>
                <c:pt idx="78">
                  <c:v>40724</c:v>
                </c:pt>
                <c:pt idx="79">
                  <c:v>40753</c:v>
                </c:pt>
                <c:pt idx="80">
                  <c:v>40786</c:v>
                </c:pt>
                <c:pt idx="81">
                  <c:v>40816</c:v>
                </c:pt>
                <c:pt idx="82">
                  <c:v>40847</c:v>
                </c:pt>
                <c:pt idx="83">
                  <c:v>40877</c:v>
                </c:pt>
                <c:pt idx="84">
                  <c:v>40907</c:v>
                </c:pt>
                <c:pt idx="85">
                  <c:v>40939</c:v>
                </c:pt>
                <c:pt idx="86">
                  <c:v>40968</c:v>
                </c:pt>
                <c:pt idx="87">
                  <c:v>40998</c:v>
                </c:pt>
                <c:pt idx="88">
                  <c:v>41029</c:v>
                </c:pt>
                <c:pt idx="89">
                  <c:v>41060</c:v>
                </c:pt>
                <c:pt idx="90">
                  <c:v>41089</c:v>
                </c:pt>
                <c:pt idx="91">
                  <c:v>41121</c:v>
                </c:pt>
                <c:pt idx="92">
                  <c:v>41152</c:v>
                </c:pt>
                <c:pt idx="93">
                  <c:v>41180</c:v>
                </c:pt>
                <c:pt idx="94">
                  <c:v>41213</c:v>
                </c:pt>
                <c:pt idx="95">
                  <c:v>41243</c:v>
                </c:pt>
                <c:pt idx="96">
                  <c:v>41274</c:v>
                </c:pt>
                <c:pt idx="97">
                  <c:v>41305</c:v>
                </c:pt>
                <c:pt idx="98">
                  <c:v>41333</c:v>
                </c:pt>
                <c:pt idx="99">
                  <c:v>41361</c:v>
                </c:pt>
                <c:pt idx="100">
                  <c:v>41394</c:v>
                </c:pt>
                <c:pt idx="101">
                  <c:v>41425</c:v>
                </c:pt>
                <c:pt idx="102">
                  <c:v>41453</c:v>
                </c:pt>
                <c:pt idx="103">
                  <c:v>41486</c:v>
                </c:pt>
                <c:pt idx="104">
                  <c:v>41516</c:v>
                </c:pt>
                <c:pt idx="105">
                  <c:v>41547</c:v>
                </c:pt>
                <c:pt idx="106">
                  <c:v>41578</c:v>
                </c:pt>
                <c:pt idx="107">
                  <c:v>41607</c:v>
                </c:pt>
                <c:pt idx="108">
                  <c:v>41639</c:v>
                </c:pt>
                <c:pt idx="109">
                  <c:v>41670</c:v>
                </c:pt>
                <c:pt idx="110">
                  <c:v>41698</c:v>
                </c:pt>
                <c:pt idx="111">
                  <c:v>41729</c:v>
                </c:pt>
                <c:pt idx="112">
                  <c:v>41759</c:v>
                </c:pt>
                <c:pt idx="113">
                  <c:v>41789</c:v>
                </c:pt>
                <c:pt idx="114">
                  <c:v>41820</c:v>
                </c:pt>
                <c:pt idx="115">
                  <c:v>41851</c:v>
                </c:pt>
                <c:pt idx="116">
                  <c:v>41880</c:v>
                </c:pt>
                <c:pt idx="117">
                  <c:v>41912</c:v>
                </c:pt>
                <c:pt idx="118">
                  <c:v>41943</c:v>
                </c:pt>
                <c:pt idx="119">
                  <c:v>41971</c:v>
                </c:pt>
                <c:pt idx="120">
                  <c:v>42004</c:v>
                </c:pt>
                <c:pt idx="121">
                  <c:v>42034</c:v>
                </c:pt>
                <c:pt idx="122">
                  <c:v>42062</c:v>
                </c:pt>
                <c:pt idx="123">
                  <c:v>42094</c:v>
                </c:pt>
                <c:pt idx="124">
                  <c:v>42124</c:v>
                </c:pt>
                <c:pt idx="125">
                  <c:v>42153</c:v>
                </c:pt>
                <c:pt idx="126">
                  <c:v>42185</c:v>
                </c:pt>
                <c:pt idx="127">
                  <c:v>42216</c:v>
                </c:pt>
                <c:pt idx="128">
                  <c:v>42247</c:v>
                </c:pt>
                <c:pt idx="129">
                  <c:v>42277</c:v>
                </c:pt>
                <c:pt idx="130">
                  <c:v>42307</c:v>
                </c:pt>
                <c:pt idx="131">
                  <c:v>42338</c:v>
                </c:pt>
                <c:pt idx="132">
                  <c:v>42369</c:v>
                </c:pt>
                <c:pt idx="133">
                  <c:v>42398</c:v>
                </c:pt>
                <c:pt idx="134">
                  <c:v>42429</c:v>
                </c:pt>
                <c:pt idx="135">
                  <c:v>42460</c:v>
                </c:pt>
                <c:pt idx="136">
                  <c:v>42489</c:v>
                </c:pt>
                <c:pt idx="137">
                  <c:v>42521</c:v>
                </c:pt>
                <c:pt idx="138">
                  <c:v>42551</c:v>
                </c:pt>
                <c:pt idx="139">
                  <c:v>42580</c:v>
                </c:pt>
                <c:pt idx="140">
                  <c:v>42613</c:v>
                </c:pt>
                <c:pt idx="141">
                  <c:v>42643</c:v>
                </c:pt>
                <c:pt idx="142">
                  <c:v>42674</c:v>
                </c:pt>
                <c:pt idx="143">
                  <c:v>42704</c:v>
                </c:pt>
                <c:pt idx="144">
                  <c:v>42734</c:v>
                </c:pt>
                <c:pt idx="145">
                  <c:v>42766</c:v>
                </c:pt>
                <c:pt idx="146">
                  <c:v>42794</c:v>
                </c:pt>
                <c:pt idx="147">
                  <c:v>42825</c:v>
                </c:pt>
                <c:pt idx="148">
                  <c:v>42853</c:v>
                </c:pt>
                <c:pt idx="149">
                  <c:v>42886</c:v>
                </c:pt>
                <c:pt idx="150">
                  <c:v>42916</c:v>
                </c:pt>
                <c:pt idx="151">
                  <c:v>42947</c:v>
                </c:pt>
                <c:pt idx="152">
                  <c:v>42978</c:v>
                </c:pt>
                <c:pt idx="153">
                  <c:v>43007</c:v>
                </c:pt>
                <c:pt idx="154">
                  <c:v>43039</c:v>
                </c:pt>
                <c:pt idx="155">
                  <c:v>43069</c:v>
                </c:pt>
                <c:pt idx="156">
                  <c:v>43098</c:v>
                </c:pt>
                <c:pt idx="157">
                  <c:v>43131</c:v>
                </c:pt>
                <c:pt idx="158">
                  <c:v>43159</c:v>
                </c:pt>
                <c:pt idx="159">
                  <c:v>43188</c:v>
                </c:pt>
                <c:pt idx="160">
                  <c:v>43220</c:v>
                </c:pt>
                <c:pt idx="161">
                  <c:v>43251</c:v>
                </c:pt>
                <c:pt idx="162">
                  <c:v>43280</c:v>
                </c:pt>
                <c:pt idx="163">
                  <c:v>43312</c:v>
                </c:pt>
                <c:pt idx="164">
                  <c:v>43343</c:v>
                </c:pt>
                <c:pt idx="165">
                  <c:v>43371</c:v>
                </c:pt>
                <c:pt idx="166">
                  <c:v>43404</c:v>
                </c:pt>
                <c:pt idx="167">
                  <c:v>43434</c:v>
                </c:pt>
                <c:pt idx="168">
                  <c:v>43465</c:v>
                </c:pt>
                <c:pt idx="169">
                  <c:v>43496</c:v>
                </c:pt>
                <c:pt idx="170">
                  <c:v>43524</c:v>
                </c:pt>
                <c:pt idx="171">
                  <c:v>43553</c:v>
                </c:pt>
                <c:pt idx="172">
                  <c:v>43585</c:v>
                </c:pt>
                <c:pt idx="173">
                  <c:v>43616</c:v>
                </c:pt>
                <c:pt idx="174">
                  <c:v>43644</c:v>
                </c:pt>
                <c:pt idx="175">
                  <c:v>43677</c:v>
                </c:pt>
                <c:pt idx="176">
                  <c:v>43707</c:v>
                </c:pt>
                <c:pt idx="177">
                  <c:v>43738</c:v>
                </c:pt>
                <c:pt idx="178">
                  <c:v>43769</c:v>
                </c:pt>
                <c:pt idx="179">
                  <c:v>43798</c:v>
                </c:pt>
                <c:pt idx="180">
                  <c:v>43830</c:v>
                </c:pt>
                <c:pt idx="181">
                  <c:v>43861</c:v>
                </c:pt>
                <c:pt idx="182">
                  <c:v>43889</c:v>
                </c:pt>
                <c:pt idx="183">
                  <c:v>43921</c:v>
                </c:pt>
                <c:pt idx="184">
                  <c:v>43951</c:v>
                </c:pt>
                <c:pt idx="185">
                  <c:v>43980</c:v>
                </c:pt>
                <c:pt idx="186">
                  <c:v>44012</c:v>
                </c:pt>
                <c:pt idx="187">
                  <c:v>44043</c:v>
                </c:pt>
                <c:pt idx="188">
                  <c:v>44074</c:v>
                </c:pt>
                <c:pt idx="189">
                  <c:v>44104</c:v>
                </c:pt>
                <c:pt idx="190">
                  <c:v>44134</c:v>
                </c:pt>
                <c:pt idx="191">
                  <c:v>44165</c:v>
                </c:pt>
                <c:pt idx="192">
                  <c:v>44196</c:v>
                </c:pt>
                <c:pt idx="193">
                  <c:v>44225</c:v>
                </c:pt>
                <c:pt idx="194">
                  <c:v>44253</c:v>
                </c:pt>
                <c:pt idx="195">
                  <c:v>44286</c:v>
                </c:pt>
                <c:pt idx="196">
                  <c:v>44316</c:v>
                </c:pt>
                <c:pt idx="197">
                  <c:v>44344</c:v>
                </c:pt>
                <c:pt idx="198">
                  <c:v>44377</c:v>
                </c:pt>
                <c:pt idx="199">
                  <c:v>44407</c:v>
                </c:pt>
                <c:pt idx="200">
                  <c:v>44439</c:v>
                </c:pt>
                <c:pt idx="201">
                  <c:v>44469</c:v>
                </c:pt>
                <c:pt idx="202">
                  <c:v>44498</c:v>
                </c:pt>
                <c:pt idx="203">
                  <c:v>44530</c:v>
                </c:pt>
                <c:pt idx="204">
                  <c:v>44561</c:v>
                </c:pt>
                <c:pt idx="205">
                  <c:v>44592</c:v>
                </c:pt>
                <c:pt idx="206">
                  <c:v>44620</c:v>
                </c:pt>
                <c:pt idx="207">
                  <c:v>44651</c:v>
                </c:pt>
                <c:pt idx="208">
                  <c:v>44680</c:v>
                </c:pt>
                <c:pt idx="209">
                  <c:v>44712</c:v>
                </c:pt>
                <c:pt idx="210">
                  <c:v>44742</c:v>
                </c:pt>
                <c:pt idx="211">
                  <c:v>44771</c:v>
                </c:pt>
                <c:pt idx="212">
                  <c:v>44804</c:v>
                </c:pt>
                <c:pt idx="213">
                  <c:v>44834</c:v>
                </c:pt>
                <c:pt idx="214">
                  <c:v>44865</c:v>
                </c:pt>
                <c:pt idx="215">
                  <c:v>44895</c:v>
                </c:pt>
                <c:pt idx="216">
                  <c:v>44925</c:v>
                </c:pt>
                <c:pt idx="217">
                  <c:v>44957</c:v>
                </c:pt>
                <c:pt idx="218">
                  <c:v>44985</c:v>
                </c:pt>
                <c:pt idx="219">
                  <c:v>45016</c:v>
                </c:pt>
                <c:pt idx="220">
                  <c:v>45044</c:v>
                </c:pt>
                <c:pt idx="221">
                  <c:v>45077</c:v>
                </c:pt>
                <c:pt idx="222">
                  <c:v>45107</c:v>
                </c:pt>
                <c:pt idx="223">
                  <c:v>45138</c:v>
                </c:pt>
                <c:pt idx="224">
                  <c:v>45169</c:v>
                </c:pt>
                <c:pt idx="225">
                  <c:v>45198</c:v>
                </c:pt>
                <c:pt idx="226">
                  <c:v>45230</c:v>
                </c:pt>
                <c:pt idx="227">
                  <c:v>45260</c:v>
                </c:pt>
                <c:pt idx="228">
                  <c:v>45289</c:v>
                </c:pt>
                <c:pt idx="229">
                  <c:v>45322</c:v>
                </c:pt>
                <c:pt idx="230">
                  <c:v>45351</c:v>
                </c:pt>
                <c:pt idx="231">
                  <c:v>45379</c:v>
                </c:pt>
                <c:pt idx="232">
                  <c:v>45412</c:v>
                </c:pt>
                <c:pt idx="233">
                  <c:v>45443</c:v>
                </c:pt>
                <c:pt idx="234">
                  <c:v>45471</c:v>
                </c:pt>
                <c:pt idx="235">
                  <c:v>45504</c:v>
                </c:pt>
                <c:pt idx="236">
                  <c:v>45534</c:v>
                </c:pt>
                <c:pt idx="237">
                  <c:v>45565</c:v>
                </c:pt>
                <c:pt idx="238">
                  <c:v>45596</c:v>
                </c:pt>
                <c:pt idx="239">
                  <c:v>45625</c:v>
                </c:pt>
                <c:pt idx="240">
                  <c:v>45657</c:v>
                </c:pt>
              </c:numCache>
            </c:numRef>
          </c:xVal>
          <c:yVal>
            <c:numRef>
              <c:f>'Task 1 GRAPH student '!$V$5:$V$245</c:f>
              <c:numCache>
                <c:formatCode>0.000</c:formatCode>
                <c:ptCount val="241"/>
                <c:pt idx="0">
                  <c:v>100</c:v>
                </c:pt>
                <c:pt idx="1">
                  <c:v>71.752951236493729</c:v>
                </c:pt>
                <c:pt idx="2">
                  <c:v>79.246141690188026</c:v>
                </c:pt>
                <c:pt idx="3">
                  <c:v>73.206178492834269</c:v>
                </c:pt>
                <c:pt idx="4">
                  <c:v>64.623066514148078</c:v>
                </c:pt>
                <c:pt idx="5">
                  <c:v>74.477744221608617</c:v>
                </c:pt>
                <c:pt idx="6">
                  <c:v>78.746593061374185</c:v>
                </c:pt>
                <c:pt idx="7">
                  <c:v>91.189825187430358</c:v>
                </c:pt>
                <c:pt idx="8">
                  <c:v>94.323342533994889</c:v>
                </c:pt>
                <c:pt idx="9">
                  <c:v>114.4414179794197</c:v>
                </c:pt>
                <c:pt idx="10">
                  <c:v>105.44958597022978</c:v>
                </c:pt>
                <c:pt idx="11">
                  <c:v>118.89191535391363</c:v>
                </c:pt>
                <c:pt idx="12">
                  <c:v>138.96457650018337</c:v>
                </c:pt>
                <c:pt idx="13">
                  <c:v>189.82742219845397</c:v>
                </c:pt>
                <c:pt idx="14">
                  <c:v>175.61306705291776</c:v>
                </c:pt>
                <c:pt idx="15">
                  <c:v>150.5903685652321</c:v>
                </c:pt>
                <c:pt idx="16">
                  <c:v>146.91188829069864</c:v>
                </c:pt>
                <c:pt idx="17">
                  <c:v>140.28155652811279</c:v>
                </c:pt>
                <c:pt idx="18">
                  <c:v>110.89918060235142</c:v>
                </c:pt>
                <c:pt idx="19">
                  <c:v>88.056307840865799</c:v>
                </c:pt>
                <c:pt idx="20">
                  <c:v>113.48773502094704</c:v>
                </c:pt>
                <c:pt idx="21">
                  <c:v>112.85195215655988</c:v>
                </c:pt>
                <c:pt idx="22">
                  <c:v>96.594005520396948</c:v>
                </c:pt>
                <c:pt idx="23">
                  <c:v>97.956399847481407</c:v>
                </c:pt>
                <c:pt idx="24">
                  <c:v>92.415985278941505</c:v>
                </c:pt>
                <c:pt idx="25">
                  <c:v>70.617619743292707</c:v>
                </c:pt>
                <c:pt idx="26">
                  <c:v>68.437781024254846</c:v>
                </c:pt>
                <c:pt idx="27">
                  <c:v>59.309719110437563</c:v>
                </c:pt>
                <c:pt idx="28">
                  <c:v>62.761123558249757</c:v>
                </c:pt>
                <c:pt idx="29">
                  <c:v>64.804723710768343</c:v>
                </c:pt>
                <c:pt idx="30">
                  <c:v>64.940962277287611</c:v>
                </c:pt>
                <c:pt idx="31">
                  <c:v>61.489553498529467</c:v>
                </c:pt>
                <c:pt idx="32">
                  <c:v>59.0372376464531</c:v>
                </c:pt>
                <c:pt idx="33">
                  <c:v>59.945501974824737</c:v>
                </c:pt>
                <c:pt idx="34">
                  <c:v>59.400543377801753</c:v>
                </c:pt>
                <c:pt idx="35">
                  <c:v>44.323342533994889</c:v>
                </c:pt>
                <c:pt idx="36">
                  <c:v>34.059944796030635</c:v>
                </c:pt>
                <c:pt idx="37">
                  <c:v>34.468664826534358</c:v>
                </c:pt>
                <c:pt idx="38">
                  <c:v>32.74296043715529</c:v>
                </c:pt>
                <c:pt idx="39">
                  <c:v>26.748409373483629</c:v>
                </c:pt>
                <c:pt idx="40">
                  <c:v>27.066302971150186</c:v>
                </c:pt>
                <c:pt idx="41">
                  <c:v>31.244323212605618</c:v>
                </c:pt>
                <c:pt idx="42">
                  <c:v>26.475930074972137</c:v>
                </c:pt>
                <c:pt idx="43">
                  <c:v>19.118982518743035</c:v>
                </c:pt>
                <c:pt idx="44">
                  <c:v>28.564940195699855</c:v>
                </c:pt>
                <c:pt idx="45">
                  <c:v>23.841961357221443</c:v>
                </c:pt>
                <c:pt idx="46">
                  <c:v>15.894640904814297</c:v>
                </c:pt>
                <c:pt idx="47">
                  <c:v>10.717528819413587</c:v>
                </c:pt>
                <c:pt idx="48">
                  <c:v>9.809264491041958</c:v>
                </c:pt>
                <c:pt idx="49">
                  <c:v>9.945504140297702</c:v>
                </c:pt>
                <c:pt idx="50">
                  <c:v>9.9000909238791213</c:v>
                </c:pt>
                <c:pt idx="51">
                  <c:v>13.85104400050516</c:v>
                </c:pt>
                <c:pt idx="52">
                  <c:v>16.394186285418694</c:v>
                </c:pt>
                <c:pt idx="53">
                  <c:v>20.617619743292707</c:v>
                </c:pt>
                <c:pt idx="54">
                  <c:v>17.574930995038297</c:v>
                </c:pt>
                <c:pt idx="55">
                  <c:v>16.621253450248087</c:v>
                </c:pt>
                <c:pt idx="56">
                  <c:v>19.800181847758243</c:v>
                </c:pt>
                <c:pt idx="57">
                  <c:v>25.703904313119768</c:v>
                </c:pt>
                <c:pt idx="58">
                  <c:v>20.890099041804199</c:v>
                </c:pt>
                <c:pt idx="59">
                  <c:v>31.83469610878366</c:v>
                </c:pt>
                <c:pt idx="60">
                  <c:v>43.960036802646243</c:v>
                </c:pt>
                <c:pt idx="61">
                  <c:v>33.878291930356305</c:v>
                </c:pt>
                <c:pt idx="62">
                  <c:v>35.921887751928963</c:v>
                </c:pt>
                <c:pt idx="63">
                  <c:v>42.098093846747922</c:v>
                </c:pt>
                <c:pt idx="64">
                  <c:v>41.189825187430344</c:v>
                </c:pt>
                <c:pt idx="65">
                  <c:v>38.919162201028307</c:v>
                </c:pt>
                <c:pt idx="66">
                  <c:v>33.242506900496174</c:v>
                </c:pt>
                <c:pt idx="67">
                  <c:v>34.014530496875565</c:v>
                </c:pt>
                <c:pt idx="68">
                  <c:v>25.47683931376335</c:v>
                </c:pt>
                <c:pt idx="69">
                  <c:v>32.288828272969475</c:v>
                </c:pt>
                <c:pt idx="70">
                  <c:v>33.310626183755801</c:v>
                </c:pt>
                <c:pt idx="71">
                  <c:v>33.106266168503936</c:v>
                </c:pt>
                <c:pt idx="72">
                  <c:v>37.148047843440111</c:v>
                </c:pt>
                <c:pt idx="73">
                  <c:v>35.55858202058031</c:v>
                </c:pt>
                <c:pt idx="74">
                  <c:v>41.82561238276346</c:v>
                </c:pt>
                <c:pt idx="75">
                  <c:v>39.055405098493509</c:v>
                </c:pt>
                <c:pt idx="76">
                  <c:v>41.326068084895553</c:v>
                </c:pt>
                <c:pt idx="77">
                  <c:v>39.418710829842155</c:v>
                </c:pt>
                <c:pt idx="78">
                  <c:v>31.743867510473528</c:v>
                </c:pt>
                <c:pt idx="79">
                  <c:v>33.333333333333329</c:v>
                </c:pt>
                <c:pt idx="80">
                  <c:v>31.017256047776225</c:v>
                </c:pt>
                <c:pt idx="81">
                  <c:v>23.069935595369078</c:v>
                </c:pt>
                <c:pt idx="82">
                  <c:v>26.475930074972137</c:v>
                </c:pt>
                <c:pt idx="83">
                  <c:v>25.840145045111999</c:v>
                </c:pt>
                <c:pt idx="84">
                  <c:v>24.523160686236654</c:v>
                </c:pt>
                <c:pt idx="85">
                  <c:v>30.472297450753246</c:v>
                </c:pt>
                <c:pt idx="86">
                  <c:v>33.378745467015428</c:v>
                </c:pt>
                <c:pt idx="87">
                  <c:v>36.421436380742811</c:v>
                </c:pt>
                <c:pt idx="88">
                  <c:v>33.424159766170497</c:v>
                </c:pt>
                <c:pt idx="89">
                  <c:v>27.611261568173163</c:v>
                </c:pt>
                <c:pt idx="90">
                  <c:v>26.021797910786326</c:v>
                </c:pt>
                <c:pt idx="91">
                  <c:v>18.437783189727828</c:v>
                </c:pt>
                <c:pt idx="92">
                  <c:v>16.893732748759575</c:v>
                </c:pt>
                <c:pt idx="93">
                  <c:v>15.304268008636251</c:v>
                </c:pt>
                <c:pt idx="94">
                  <c:v>9.3097180277010771</c:v>
                </c:pt>
                <c:pt idx="95">
                  <c:v>9.9909173567162828</c:v>
                </c:pt>
                <c:pt idx="96">
                  <c:v>10.899182767824398</c:v>
                </c:pt>
                <c:pt idx="97">
                  <c:v>11.807447096196027</c:v>
                </c:pt>
                <c:pt idx="98">
                  <c:v>11.307901715591631</c:v>
                </c:pt>
                <c:pt idx="99">
                  <c:v>11.58038101410312</c:v>
                </c:pt>
                <c:pt idx="100">
                  <c:v>12.806538940141305</c:v>
                </c:pt>
                <c:pt idx="101">
                  <c:v>18.16530389121634</c:v>
                </c:pt>
                <c:pt idx="102">
                  <c:v>18.528609622564989</c:v>
                </c:pt>
                <c:pt idx="103">
                  <c:v>17.120798830852483</c:v>
                </c:pt>
                <c:pt idx="104">
                  <c:v>14.850135844450438</c:v>
                </c:pt>
                <c:pt idx="105">
                  <c:v>17.302451696526809</c:v>
                </c:pt>
                <c:pt idx="106">
                  <c:v>15.168028359380509</c:v>
                </c:pt>
                <c:pt idx="107">
                  <c:v>16.530427017410922</c:v>
                </c:pt>
                <c:pt idx="108">
                  <c:v>17.574930995038297</c:v>
                </c:pt>
                <c:pt idx="109">
                  <c:v>15.576748389884226</c:v>
                </c:pt>
                <c:pt idx="110">
                  <c:v>16.848319532340991</c:v>
                </c:pt>
                <c:pt idx="111">
                  <c:v>18.210718190371406</c:v>
                </c:pt>
                <c:pt idx="112">
                  <c:v>18.574023921720055</c:v>
                </c:pt>
                <c:pt idx="113">
                  <c:v>18.16530389121634</c:v>
                </c:pt>
                <c:pt idx="114">
                  <c:v>19.028156085905874</c:v>
                </c:pt>
                <c:pt idx="115">
                  <c:v>17.756584943449106</c:v>
                </c:pt>
                <c:pt idx="116">
                  <c:v>18.937329653068709</c:v>
                </c:pt>
                <c:pt idx="117">
                  <c:v>15.485921957047063</c:v>
                </c:pt>
                <c:pt idx="118">
                  <c:v>12.715712507304142</c:v>
                </c:pt>
                <c:pt idx="119">
                  <c:v>12.670299290885559</c:v>
                </c:pt>
                <c:pt idx="120">
                  <c:v>12.125340693862583</c:v>
                </c:pt>
                <c:pt idx="121">
                  <c:v>11.671207446940283</c:v>
                </c:pt>
                <c:pt idx="122">
                  <c:v>14.12352329901665</c:v>
                </c:pt>
                <c:pt idx="123">
                  <c:v>12.170753910281164</c:v>
                </c:pt>
                <c:pt idx="124">
                  <c:v>10.263396655227771</c:v>
                </c:pt>
                <c:pt idx="125">
                  <c:v>10.354223088064934</c:v>
                </c:pt>
                <c:pt idx="126">
                  <c:v>10.899182767824398</c:v>
                </c:pt>
                <c:pt idx="127">
                  <c:v>8.7647588893098565</c:v>
                </c:pt>
                <c:pt idx="128">
                  <c:v>8.2197997509186376</c:v>
                </c:pt>
                <c:pt idx="129">
                  <c:v>7.8110808031514045</c:v>
                </c:pt>
                <c:pt idx="130">
                  <c:v>9.6276105426311478</c:v>
                </c:pt>
                <c:pt idx="131">
                  <c:v>10.717528819413587</c:v>
                </c:pt>
                <c:pt idx="132">
                  <c:v>13.033605022234211</c:v>
                </c:pt>
                <c:pt idx="133">
                  <c:v>9.9909173567162828</c:v>
                </c:pt>
                <c:pt idx="134">
                  <c:v>9.7184380582047947</c:v>
                </c:pt>
                <c:pt idx="135">
                  <c:v>12.942778589397047</c:v>
                </c:pt>
                <c:pt idx="136">
                  <c:v>16.121706986907203</c:v>
                </c:pt>
                <c:pt idx="137">
                  <c:v>20.753860475284938</c:v>
                </c:pt>
                <c:pt idx="138">
                  <c:v>23.342414893880566</c:v>
                </c:pt>
                <c:pt idx="139">
                  <c:v>31.153496779768453</c:v>
                </c:pt>
                <c:pt idx="140">
                  <c:v>33.60581263184482</c:v>
                </c:pt>
                <c:pt idx="141">
                  <c:v>31.380561779124879</c:v>
                </c:pt>
                <c:pt idx="142">
                  <c:v>32.833786869992451</c:v>
                </c:pt>
                <c:pt idx="143">
                  <c:v>40.463213724733045</c:v>
                </c:pt>
                <c:pt idx="144">
                  <c:v>51.498637224549668</c:v>
                </c:pt>
                <c:pt idx="145">
                  <c:v>47.093549818264847</c:v>
                </c:pt>
                <c:pt idx="146">
                  <c:v>65.667573739984903</c:v>
                </c:pt>
                <c:pt idx="147">
                  <c:v>66.076293770488633</c:v>
                </c:pt>
                <c:pt idx="148">
                  <c:v>60.399636304483515</c:v>
                </c:pt>
                <c:pt idx="149">
                  <c:v>50.81743573006149</c:v>
                </c:pt>
                <c:pt idx="150">
                  <c:v>56.675746061740931</c:v>
                </c:pt>
                <c:pt idx="151">
                  <c:v>61.807444930723051</c:v>
                </c:pt>
                <c:pt idx="152">
                  <c:v>59.0372376464531</c:v>
                </c:pt>
                <c:pt idx="153">
                  <c:v>57.901906153252078</c:v>
                </c:pt>
                <c:pt idx="154">
                  <c:v>49.886464252112333</c:v>
                </c:pt>
                <c:pt idx="155">
                  <c:v>49.455041402977024</c:v>
                </c:pt>
                <c:pt idx="156">
                  <c:v>46.684829787761132</c:v>
                </c:pt>
                <c:pt idx="157">
                  <c:v>62.397817826901104</c:v>
                </c:pt>
                <c:pt idx="158">
                  <c:v>54.995455971516925</c:v>
                </c:pt>
                <c:pt idx="159">
                  <c:v>45.640326892870242</c:v>
                </c:pt>
                <c:pt idx="160">
                  <c:v>49.409627103821954</c:v>
                </c:pt>
                <c:pt idx="161">
                  <c:v>62.352403527746034</c:v>
                </c:pt>
                <c:pt idx="162">
                  <c:v>68.0744752929062</c:v>
                </c:pt>
                <c:pt idx="163">
                  <c:v>83.242504735023203</c:v>
                </c:pt>
                <c:pt idx="164">
                  <c:v>114.30517508195447</c:v>
                </c:pt>
                <c:pt idx="165">
                  <c:v>140.28155652811279</c:v>
                </c:pt>
                <c:pt idx="166">
                  <c:v>82.697541807054279</c:v>
                </c:pt>
                <c:pt idx="167">
                  <c:v>96.730239755970246</c:v>
                </c:pt>
                <c:pt idx="168">
                  <c:v>83.832873300255301</c:v>
                </c:pt>
                <c:pt idx="169">
                  <c:v>110.85376630319637</c:v>
                </c:pt>
                <c:pt idx="170">
                  <c:v>106.85740325836119</c:v>
                </c:pt>
                <c:pt idx="171">
                  <c:v>115.8946409048143</c:v>
                </c:pt>
                <c:pt idx="172">
                  <c:v>125.47683281734443</c:v>
                </c:pt>
                <c:pt idx="173">
                  <c:v>124.47774422160862</c:v>
                </c:pt>
                <c:pt idx="174">
                  <c:v>137.92007360529249</c:v>
                </c:pt>
                <c:pt idx="175">
                  <c:v>138.28337933664113</c:v>
                </c:pt>
                <c:pt idx="176">
                  <c:v>142.82470530944522</c:v>
                </c:pt>
                <c:pt idx="177">
                  <c:v>131.6530389121634</c:v>
                </c:pt>
                <c:pt idx="178">
                  <c:v>154.0871916431453</c:v>
                </c:pt>
                <c:pt idx="179">
                  <c:v>177.79291876479343</c:v>
                </c:pt>
                <c:pt idx="180">
                  <c:v>208.26521188460072</c:v>
                </c:pt>
                <c:pt idx="181">
                  <c:v>213.44232072179196</c:v>
                </c:pt>
                <c:pt idx="182">
                  <c:v>206.53950316427574</c:v>
                </c:pt>
                <c:pt idx="183">
                  <c:v>206.53950316427574</c:v>
                </c:pt>
                <c:pt idx="184">
                  <c:v>237.9200649434006</c:v>
                </c:pt>
                <c:pt idx="185">
                  <c:v>244.32333387210301</c:v>
                </c:pt>
                <c:pt idx="186">
                  <c:v>238.91916220102831</c:v>
                </c:pt>
                <c:pt idx="187">
                  <c:v>351.63487146012301</c:v>
                </c:pt>
                <c:pt idx="188">
                  <c:v>412.44322346416425</c:v>
                </c:pt>
                <c:pt idx="189">
                  <c:v>372.34330680888797</c:v>
                </c:pt>
                <c:pt idx="190">
                  <c:v>341.91643665012765</c:v>
                </c:pt>
                <c:pt idx="191">
                  <c:v>420.79928127085896</c:v>
                </c:pt>
                <c:pt idx="192">
                  <c:v>416.4850008081545</c:v>
                </c:pt>
                <c:pt idx="193">
                  <c:v>388.91915353913646</c:v>
                </c:pt>
                <c:pt idx="194">
                  <c:v>383.78746766299213</c:v>
                </c:pt>
                <c:pt idx="195">
                  <c:v>356.49408886512066</c:v>
                </c:pt>
                <c:pt idx="196">
                  <c:v>370.6630383733937</c:v>
                </c:pt>
                <c:pt idx="197">
                  <c:v>363.66939221756735</c:v>
                </c:pt>
                <c:pt idx="198">
                  <c:v>426.56675001139035</c:v>
                </c:pt>
                <c:pt idx="199">
                  <c:v>482.24341613928738</c:v>
                </c:pt>
                <c:pt idx="200">
                  <c:v>502.81561725247911</c:v>
                </c:pt>
                <c:pt idx="201">
                  <c:v>467.30244953105381</c:v>
                </c:pt>
                <c:pt idx="202">
                  <c:v>546.00363695516489</c:v>
                </c:pt>
                <c:pt idx="203">
                  <c:v>719.20977213853973</c:v>
                </c:pt>
                <c:pt idx="204">
                  <c:v>653.49677976845385</c:v>
                </c:pt>
                <c:pt idx="205">
                  <c:v>518.84649239286671</c:v>
                </c:pt>
                <c:pt idx="206">
                  <c:v>560.12712885482335</c:v>
                </c:pt>
                <c:pt idx="207">
                  <c:v>496.54856523556623</c:v>
                </c:pt>
                <c:pt idx="208">
                  <c:v>388.37418194927562</c:v>
                </c:pt>
                <c:pt idx="209">
                  <c:v>462.5794663616295</c:v>
                </c:pt>
                <c:pt idx="210">
                  <c:v>347.2752026839392</c:v>
                </c:pt>
                <c:pt idx="211">
                  <c:v>429.01907019441268</c:v>
                </c:pt>
                <c:pt idx="212">
                  <c:v>385.42234778500699</c:v>
                </c:pt>
                <c:pt idx="213">
                  <c:v>287.73841640867221</c:v>
                </c:pt>
                <c:pt idx="214">
                  <c:v>272.75204416317547</c:v>
                </c:pt>
                <c:pt idx="215">
                  <c:v>352.54312279565681</c:v>
                </c:pt>
                <c:pt idx="216">
                  <c:v>294.1416680135909</c:v>
                </c:pt>
                <c:pt idx="217">
                  <c:v>341.28065378574047</c:v>
                </c:pt>
                <c:pt idx="218">
                  <c:v>356.85740325836116</c:v>
                </c:pt>
                <c:pt idx="219">
                  <c:v>445.09536829584732</c:v>
                </c:pt>
                <c:pt idx="220">
                  <c:v>405.85831466262539</c:v>
                </c:pt>
                <c:pt idx="221">
                  <c:v>536.83013908746273</c:v>
                </c:pt>
                <c:pt idx="222">
                  <c:v>517.30245819294578</c:v>
                </c:pt>
                <c:pt idx="223">
                  <c:v>519.52769821830088</c:v>
                </c:pt>
                <c:pt idx="224">
                  <c:v>480.10898738845862</c:v>
                </c:pt>
                <c:pt idx="225">
                  <c:v>466.93913513781331</c:v>
                </c:pt>
                <c:pt idx="226">
                  <c:v>447.32060832120231</c:v>
                </c:pt>
                <c:pt idx="227">
                  <c:v>550.22707149577536</c:v>
                </c:pt>
                <c:pt idx="228">
                  <c:v>669.43687828188251</c:v>
                </c:pt>
                <c:pt idx="229">
                  <c:v>761.53496346673865</c:v>
                </c:pt>
                <c:pt idx="230">
                  <c:v>874.34148400035974</c:v>
                </c:pt>
                <c:pt idx="231">
                  <c:v>819.66394977765788</c:v>
                </c:pt>
                <c:pt idx="232">
                  <c:v>719.2552297471542</c:v>
                </c:pt>
                <c:pt idx="233">
                  <c:v>757.94727714294777</c:v>
                </c:pt>
                <c:pt idx="234">
                  <c:v>736.64851653841004</c:v>
                </c:pt>
                <c:pt idx="235">
                  <c:v>656.13075714809634</c:v>
                </c:pt>
                <c:pt idx="236">
                  <c:v>674.65937543255325</c:v>
                </c:pt>
                <c:pt idx="237">
                  <c:v>745.14077393311049</c:v>
                </c:pt>
                <c:pt idx="238">
                  <c:v>654.26886616354932</c:v>
                </c:pt>
                <c:pt idx="239">
                  <c:v>622.95640417842742</c:v>
                </c:pt>
                <c:pt idx="240">
                  <c:v>548.5467684127135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7E-4227-A803-DD3D24B65BE6}"/>
            </c:ext>
          </c:extLst>
        </c:ser>
        <c:ser>
          <c:idx val="3"/>
          <c:order val="3"/>
          <c:tx>
            <c:v>Market Index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'Task 1 GRAPH student '!$O$5:$O$245</c:f>
              <c:numCache>
                <c:formatCode>m/d/yyyy</c:formatCode>
                <c:ptCount val="241"/>
                <c:pt idx="0">
                  <c:v>38352</c:v>
                </c:pt>
                <c:pt idx="1">
                  <c:v>38383</c:v>
                </c:pt>
                <c:pt idx="2">
                  <c:v>38411</c:v>
                </c:pt>
                <c:pt idx="3">
                  <c:v>38442</c:v>
                </c:pt>
                <c:pt idx="4">
                  <c:v>38471</c:v>
                </c:pt>
                <c:pt idx="5">
                  <c:v>38503</c:v>
                </c:pt>
                <c:pt idx="6">
                  <c:v>38533</c:v>
                </c:pt>
                <c:pt idx="7">
                  <c:v>38562</c:v>
                </c:pt>
                <c:pt idx="8">
                  <c:v>38595</c:v>
                </c:pt>
                <c:pt idx="9">
                  <c:v>38625</c:v>
                </c:pt>
                <c:pt idx="10">
                  <c:v>38656</c:v>
                </c:pt>
                <c:pt idx="11">
                  <c:v>38686</c:v>
                </c:pt>
                <c:pt idx="12">
                  <c:v>38716</c:v>
                </c:pt>
                <c:pt idx="13">
                  <c:v>38748</c:v>
                </c:pt>
                <c:pt idx="14">
                  <c:v>38776</c:v>
                </c:pt>
                <c:pt idx="15">
                  <c:v>38807</c:v>
                </c:pt>
                <c:pt idx="16">
                  <c:v>38835</c:v>
                </c:pt>
                <c:pt idx="17">
                  <c:v>38868</c:v>
                </c:pt>
                <c:pt idx="18">
                  <c:v>38898</c:v>
                </c:pt>
                <c:pt idx="19">
                  <c:v>38929</c:v>
                </c:pt>
                <c:pt idx="20">
                  <c:v>38960</c:v>
                </c:pt>
                <c:pt idx="21">
                  <c:v>38989</c:v>
                </c:pt>
                <c:pt idx="22">
                  <c:v>39021</c:v>
                </c:pt>
                <c:pt idx="23">
                  <c:v>39051</c:v>
                </c:pt>
                <c:pt idx="24">
                  <c:v>39080</c:v>
                </c:pt>
                <c:pt idx="25">
                  <c:v>39113</c:v>
                </c:pt>
                <c:pt idx="26">
                  <c:v>39141</c:v>
                </c:pt>
                <c:pt idx="27">
                  <c:v>39171</c:v>
                </c:pt>
                <c:pt idx="28">
                  <c:v>39202</c:v>
                </c:pt>
                <c:pt idx="29">
                  <c:v>39233</c:v>
                </c:pt>
                <c:pt idx="30">
                  <c:v>39262</c:v>
                </c:pt>
                <c:pt idx="31">
                  <c:v>39294</c:v>
                </c:pt>
                <c:pt idx="32">
                  <c:v>39325</c:v>
                </c:pt>
                <c:pt idx="33">
                  <c:v>39353</c:v>
                </c:pt>
                <c:pt idx="34">
                  <c:v>39386</c:v>
                </c:pt>
                <c:pt idx="35">
                  <c:v>39416</c:v>
                </c:pt>
                <c:pt idx="36">
                  <c:v>39447</c:v>
                </c:pt>
                <c:pt idx="37">
                  <c:v>39478</c:v>
                </c:pt>
                <c:pt idx="38">
                  <c:v>39507</c:v>
                </c:pt>
                <c:pt idx="39">
                  <c:v>39538</c:v>
                </c:pt>
                <c:pt idx="40">
                  <c:v>39568</c:v>
                </c:pt>
                <c:pt idx="41">
                  <c:v>39598</c:v>
                </c:pt>
                <c:pt idx="42">
                  <c:v>39629</c:v>
                </c:pt>
                <c:pt idx="43">
                  <c:v>39660</c:v>
                </c:pt>
                <c:pt idx="44">
                  <c:v>39689</c:v>
                </c:pt>
                <c:pt idx="45">
                  <c:v>39721</c:v>
                </c:pt>
                <c:pt idx="46">
                  <c:v>39752</c:v>
                </c:pt>
                <c:pt idx="47">
                  <c:v>39780</c:v>
                </c:pt>
                <c:pt idx="48">
                  <c:v>39813</c:v>
                </c:pt>
                <c:pt idx="49">
                  <c:v>39843</c:v>
                </c:pt>
                <c:pt idx="50">
                  <c:v>39871</c:v>
                </c:pt>
                <c:pt idx="51">
                  <c:v>39903</c:v>
                </c:pt>
                <c:pt idx="52">
                  <c:v>39933</c:v>
                </c:pt>
                <c:pt idx="53">
                  <c:v>39962</c:v>
                </c:pt>
                <c:pt idx="54">
                  <c:v>39994</c:v>
                </c:pt>
                <c:pt idx="55">
                  <c:v>40025</c:v>
                </c:pt>
                <c:pt idx="56">
                  <c:v>40056</c:v>
                </c:pt>
                <c:pt idx="57">
                  <c:v>40086</c:v>
                </c:pt>
                <c:pt idx="58">
                  <c:v>40116</c:v>
                </c:pt>
                <c:pt idx="59">
                  <c:v>40147</c:v>
                </c:pt>
                <c:pt idx="60">
                  <c:v>40178</c:v>
                </c:pt>
                <c:pt idx="61">
                  <c:v>40207</c:v>
                </c:pt>
                <c:pt idx="62">
                  <c:v>40235</c:v>
                </c:pt>
                <c:pt idx="63">
                  <c:v>40268</c:v>
                </c:pt>
                <c:pt idx="64">
                  <c:v>40298</c:v>
                </c:pt>
                <c:pt idx="65">
                  <c:v>40326</c:v>
                </c:pt>
                <c:pt idx="66">
                  <c:v>40359</c:v>
                </c:pt>
                <c:pt idx="67">
                  <c:v>40389</c:v>
                </c:pt>
                <c:pt idx="68">
                  <c:v>40421</c:v>
                </c:pt>
                <c:pt idx="69">
                  <c:v>40451</c:v>
                </c:pt>
                <c:pt idx="70">
                  <c:v>40480</c:v>
                </c:pt>
                <c:pt idx="71">
                  <c:v>40512</c:v>
                </c:pt>
                <c:pt idx="72">
                  <c:v>40543</c:v>
                </c:pt>
                <c:pt idx="73">
                  <c:v>40574</c:v>
                </c:pt>
                <c:pt idx="74">
                  <c:v>40602</c:v>
                </c:pt>
                <c:pt idx="75">
                  <c:v>40633</c:v>
                </c:pt>
                <c:pt idx="76">
                  <c:v>40662</c:v>
                </c:pt>
                <c:pt idx="77">
                  <c:v>40694</c:v>
                </c:pt>
                <c:pt idx="78">
                  <c:v>40724</c:v>
                </c:pt>
                <c:pt idx="79">
                  <c:v>40753</c:v>
                </c:pt>
                <c:pt idx="80">
                  <c:v>40786</c:v>
                </c:pt>
                <c:pt idx="81">
                  <c:v>40816</c:v>
                </c:pt>
                <c:pt idx="82">
                  <c:v>40847</c:v>
                </c:pt>
                <c:pt idx="83">
                  <c:v>40877</c:v>
                </c:pt>
                <c:pt idx="84">
                  <c:v>40907</c:v>
                </c:pt>
                <c:pt idx="85">
                  <c:v>40939</c:v>
                </c:pt>
                <c:pt idx="86">
                  <c:v>40968</c:v>
                </c:pt>
                <c:pt idx="87">
                  <c:v>40998</c:v>
                </c:pt>
                <c:pt idx="88">
                  <c:v>41029</c:v>
                </c:pt>
                <c:pt idx="89">
                  <c:v>41060</c:v>
                </c:pt>
                <c:pt idx="90">
                  <c:v>41089</c:v>
                </c:pt>
                <c:pt idx="91">
                  <c:v>41121</c:v>
                </c:pt>
                <c:pt idx="92">
                  <c:v>41152</c:v>
                </c:pt>
                <c:pt idx="93">
                  <c:v>41180</c:v>
                </c:pt>
                <c:pt idx="94">
                  <c:v>41213</c:v>
                </c:pt>
                <c:pt idx="95">
                  <c:v>41243</c:v>
                </c:pt>
                <c:pt idx="96">
                  <c:v>41274</c:v>
                </c:pt>
                <c:pt idx="97">
                  <c:v>41305</c:v>
                </c:pt>
                <c:pt idx="98">
                  <c:v>41333</c:v>
                </c:pt>
                <c:pt idx="99">
                  <c:v>41361</c:v>
                </c:pt>
                <c:pt idx="100">
                  <c:v>41394</c:v>
                </c:pt>
                <c:pt idx="101">
                  <c:v>41425</c:v>
                </c:pt>
                <c:pt idx="102">
                  <c:v>41453</c:v>
                </c:pt>
                <c:pt idx="103">
                  <c:v>41486</c:v>
                </c:pt>
                <c:pt idx="104">
                  <c:v>41516</c:v>
                </c:pt>
                <c:pt idx="105">
                  <c:v>41547</c:v>
                </c:pt>
                <c:pt idx="106">
                  <c:v>41578</c:v>
                </c:pt>
                <c:pt idx="107">
                  <c:v>41607</c:v>
                </c:pt>
                <c:pt idx="108">
                  <c:v>41639</c:v>
                </c:pt>
                <c:pt idx="109">
                  <c:v>41670</c:v>
                </c:pt>
                <c:pt idx="110">
                  <c:v>41698</c:v>
                </c:pt>
                <c:pt idx="111">
                  <c:v>41729</c:v>
                </c:pt>
                <c:pt idx="112">
                  <c:v>41759</c:v>
                </c:pt>
                <c:pt idx="113">
                  <c:v>41789</c:v>
                </c:pt>
                <c:pt idx="114">
                  <c:v>41820</c:v>
                </c:pt>
                <c:pt idx="115">
                  <c:v>41851</c:v>
                </c:pt>
                <c:pt idx="116">
                  <c:v>41880</c:v>
                </c:pt>
                <c:pt idx="117">
                  <c:v>41912</c:v>
                </c:pt>
                <c:pt idx="118">
                  <c:v>41943</c:v>
                </c:pt>
                <c:pt idx="119">
                  <c:v>41971</c:v>
                </c:pt>
                <c:pt idx="120">
                  <c:v>42004</c:v>
                </c:pt>
                <c:pt idx="121">
                  <c:v>42034</c:v>
                </c:pt>
                <c:pt idx="122">
                  <c:v>42062</c:v>
                </c:pt>
                <c:pt idx="123">
                  <c:v>42094</c:v>
                </c:pt>
                <c:pt idx="124">
                  <c:v>42124</c:v>
                </c:pt>
                <c:pt idx="125">
                  <c:v>42153</c:v>
                </c:pt>
                <c:pt idx="126">
                  <c:v>42185</c:v>
                </c:pt>
                <c:pt idx="127">
                  <c:v>42216</c:v>
                </c:pt>
                <c:pt idx="128">
                  <c:v>42247</c:v>
                </c:pt>
                <c:pt idx="129">
                  <c:v>42277</c:v>
                </c:pt>
                <c:pt idx="130">
                  <c:v>42307</c:v>
                </c:pt>
                <c:pt idx="131">
                  <c:v>42338</c:v>
                </c:pt>
                <c:pt idx="132">
                  <c:v>42369</c:v>
                </c:pt>
                <c:pt idx="133">
                  <c:v>42398</c:v>
                </c:pt>
                <c:pt idx="134">
                  <c:v>42429</c:v>
                </c:pt>
                <c:pt idx="135">
                  <c:v>42460</c:v>
                </c:pt>
                <c:pt idx="136">
                  <c:v>42489</c:v>
                </c:pt>
                <c:pt idx="137">
                  <c:v>42521</c:v>
                </c:pt>
                <c:pt idx="138">
                  <c:v>42551</c:v>
                </c:pt>
                <c:pt idx="139">
                  <c:v>42580</c:v>
                </c:pt>
                <c:pt idx="140">
                  <c:v>42613</c:v>
                </c:pt>
                <c:pt idx="141">
                  <c:v>42643</c:v>
                </c:pt>
                <c:pt idx="142">
                  <c:v>42674</c:v>
                </c:pt>
                <c:pt idx="143">
                  <c:v>42704</c:v>
                </c:pt>
                <c:pt idx="144">
                  <c:v>42734</c:v>
                </c:pt>
                <c:pt idx="145">
                  <c:v>42766</c:v>
                </c:pt>
                <c:pt idx="146">
                  <c:v>42794</c:v>
                </c:pt>
                <c:pt idx="147">
                  <c:v>42825</c:v>
                </c:pt>
                <c:pt idx="148">
                  <c:v>42853</c:v>
                </c:pt>
                <c:pt idx="149">
                  <c:v>42886</c:v>
                </c:pt>
                <c:pt idx="150">
                  <c:v>42916</c:v>
                </c:pt>
                <c:pt idx="151">
                  <c:v>42947</c:v>
                </c:pt>
                <c:pt idx="152">
                  <c:v>42978</c:v>
                </c:pt>
                <c:pt idx="153">
                  <c:v>43007</c:v>
                </c:pt>
                <c:pt idx="154">
                  <c:v>43039</c:v>
                </c:pt>
                <c:pt idx="155">
                  <c:v>43069</c:v>
                </c:pt>
                <c:pt idx="156">
                  <c:v>43098</c:v>
                </c:pt>
                <c:pt idx="157">
                  <c:v>43131</c:v>
                </c:pt>
                <c:pt idx="158">
                  <c:v>43159</c:v>
                </c:pt>
                <c:pt idx="159">
                  <c:v>43188</c:v>
                </c:pt>
                <c:pt idx="160">
                  <c:v>43220</c:v>
                </c:pt>
                <c:pt idx="161">
                  <c:v>43251</c:v>
                </c:pt>
                <c:pt idx="162">
                  <c:v>43280</c:v>
                </c:pt>
                <c:pt idx="163">
                  <c:v>43312</c:v>
                </c:pt>
                <c:pt idx="164">
                  <c:v>43343</c:v>
                </c:pt>
                <c:pt idx="165">
                  <c:v>43371</c:v>
                </c:pt>
                <c:pt idx="166">
                  <c:v>43404</c:v>
                </c:pt>
                <c:pt idx="167">
                  <c:v>43434</c:v>
                </c:pt>
                <c:pt idx="168">
                  <c:v>43465</c:v>
                </c:pt>
                <c:pt idx="169">
                  <c:v>43496</c:v>
                </c:pt>
                <c:pt idx="170">
                  <c:v>43524</c:v>
                </c:pt>
                <c:pt idx="171">
                  <c:v>43553</c:v>
                </c:pt>
                <c:pt idx="172">
                  <c:v>43585</c:v>
                </c:pt>
                <c:pt idx="173">
                  <c:v>43616</c:v>
                </c:pt>
                <c:pt idx="174">
                  <c:v>43644</c:v>
                </c:pt>
                <c:pt idx="175">
                  <c:v>43677</c:v>
                </c:pt>
                <c:pt idx="176">
                  <c:v>43707</c:v>
                </c:pt>
                <c:pt idx="177">
                  <c:v>43738</c:v>
                </c:pt>
                <c:pt idx="178">
                  <c:v>43769</c:v>
                </c:pt>
                <c:pt idx="179">
                  <c:v>43798</c:v>
                </c:pt>
                <c:pt idx="180">
                  <c:v>43830</c:v>
                </c:pt>
                <c:pt idx="181">
                  <c:v>43861</c:v>
                </c:pt>
                <c:pt idx="182">
                  <c:v>43889</c:v>
                </c:pt>
                <c:pt idx="183">
                  <c:v>43921</c:v>
                </c:pt>
                <c:pt idx="184">
                  <c:v>43951</c:v>
                </c:pt>
                <c:pt idx="185">
                  <c:v>43980</c:v>
                </c:pt>
                <c:pt idx="186">
                  <c:v>44012</c:v>
                </c:pt>
                <c:pt idx="187">
                  <c:v>44043</c:v>
                </c:pt>
                <c:pt idx="188">
                  <c:v>44074</c:v>
                </c:pt>
                <c:pt idx="189">
                  <c:v>44104</c:v>
                </c:pt>
                <c:pt idx="190">
                  <c:v>44134</c:v>
                </c:pt>
                <c:pt idx="191">
                  <c:v>44165</c:v>
                </c:pt>
                <c:pt idx="192">
                  <c:v>44196</c:v>
                </c:pt>
                <c:pt idx="193">
                  <c:v>44225</c:v>
                </c:pt>
                <c:pt idx="194">
                  <c:v>44253</c:v>
                </c:pt>
                <c:pt idx="195">
                  <c:v>44286</c:v>
                </c:pt>
                <c:pt idx="196">
                  <c:v>44316</c:v>
                </c:pt>
                <c:pt idx="197">
                  <c:v>44344</c:v>
                </c:pt>
                <c:pt idx="198">
                  <c:v>44377</c:v>
                </c:pt>
                <c:pt idx="199">
                  <c:v>44407</c:v>
                </c:pt>
                <c:pt idx="200">
                  <c:v>44439</c:v>
                </c:pt>
                <c:pt idx="201">
                  <c:v>44469</c:v>
                </c:pt>
                <c:pt idx="202">
                  <c:v>44498</c:v>
                </c:pt>
                <c:pt idx="203">
                  <c:v>44530</c:v>
                </c:pt>
                <c:pt idx="204">
                  <c:v>44561</c:v>
                </c:pt>
                <c:pt idx="205">
                  <c:v>44592</c:v>
                </c:pt>
                <c:pt idx="206">
                  <c:v>44620</c:v>
                </c:pt>
                <c:pt idx="207">
                  <c:v>44651</c:v>
                </c:pt>
                <c:pt idx="208">
                  <c:v>44680</c:v>
                </c:pt>
                <c:pt idx="209">
                  <c:v>44712</c:v>
                </c:pt>
                <c:pt idx="210">
                  <c:v>44742</c:v>
                </c:pt>
                <c:pt idx="211">
                  <c:v>44771</c:v>
                </c:pt>
                <c:pt idx="212">
                  <c:v>44804</c:v>
                </c:pt>
                <c:pt idx="213">
                  <c:v>44834</c:v>
                </c:pt>
                <c:pt idx="214">
                  <c:v>44865</c:v>
                </c:pt>
                <c:pt idx="215">
                  <c:v>44895</c:v>
                </c:pt>
                <c:pt idx="216">
                  <c:v>44925</c:v>
                </c:pt>
                <c:pt idx="217">
                  <c:v>44957</c:v>
                </c:pt>
                <c:pt idx="218">
                  <c:v>44985</c:v>
                </c:pt>
                <c:pt idx="219">
                  <c:v>45016</c:v>
                </c:pt>
                <c:pt idx="220">
                  <c:v>45044</c:v>
                </c:pt>
                <c:pt idx="221">
                  <c:v>45077</c:v>
                </c:pt>
                <c:pt idx="222">
                  <c:v>45107</c:v>
                </c:pt>
                <c:pt idx="223">
                  <c:v>45138</c:v>
                </c:pt>
                <c:pt idx="224">
                  <c:v>45169</c:v>
                </c:pt>
                <c:pt idx="225">
                  <c:v>45198</c:v>
                </c:pt>
                <c:pt idx="226">
                  <c:v>45230</c:v>
                </c:pt>
                <c:pt idx="227">
                  <c:v>45260</c:v>
                </c:pt>
                <c:pt idx="228">
                  <c:v>45289</c:v>
                </c:pt>
                <c:pt idx="229">
                  <c:v>45322</c:v>
                </c:pt>
                <c:pt idx="230">
                  <c:v>45351</c:v>
                </c:pt>
                <c:pt idx="231">
                  <c:v>45379</c:v>
                </c:pt>
                <c:pt idx="232">
                  <c:v>45412</c:v>
                </c:pt>
                <c:pt idx="233">
                  <c:v>45443</c:v>
                </c:pt>
                <c:pt idx="234">
                  <c:v>45471</c:v>
                </c:pt>
                <c:pt idx="235">
                  <c:v>45504</c:v>
                </c:pt>
                <c:pt idx="236">
                  <c:v>45534</c:v>
                </c:pt>
                <c:pt idx="237">
                  <c:v>45565</c:v>
                </c:pt>
                <c:pt idx="238">
                  <c:v>45596</c:v>
                </c:pt>
                <c:pt idx="239">
                  <c:v>45625</c:v>
                </c:pt>
                <c:pt idx="240">
                  <c:v>45657</c:v>
                </c:pt>
              </c:numCache>
            </c:numRef>
          </c:xVal>
          <c:yVal>
            <c:numRef>
              <c:f>'Task 1 GRAPH student '!$W$5:$W$245</c:f>
              <c:numCache>
                <c:formatCode>0.000</c:formatCode>
                <c:ptCount val="241"/>
                <c:pt idx="0">
                  <c:v>100</c:v>
                </c:pt>
                <c:pt idx="1">
                  <c:v>97.470955178559635</c:v>
                </c:pt>
                <c:pt idx="2">
                  <c:v>99.313486038682399</c:v>
                </c:pt>
                <c:pt idx="3">
                  <c:v>97.414845864413465</c:v>
                </c:pt>
                <c:pt idx="4">
                  <c:v>95.455970691134695</c:v>
                </c:pt>
                <c:pt idx="5">
                  <c:v>98.315070301670062</c:v>
                </c:pt>
                <c:pt idx="6">
                  <c:v>98.301042973133519</c:v>
                </c:pt>
                <c:pt idx="7">
                  <c:v>101.83675490131361</c:v>
                </c:pt>
                <c:pt idx="8">
                  <c:v>100.6939401940722</c:v>
                </c:pt>
                <c:pt idx="9">
                  <c:v>101.39365634695358</c:v>
                </c:pt>
                <c:pt idx="10">
                  <c:v>99.594857746385884</c:v>
                </c:pt>
                <c:pt idx="11">
                  <c:v>103.09921446960193</c:v>
                </c:pt>
                <c:pt idx="12">
                  <c:v>103.00102316984616</c:v>
                </c:pt>
                <c:pt idx="13">
                  <c:v>105.62413360617859</c:v>
                </c:pt>
                <c:pt idx="14">
                  <c:v>105.67199155059738</c:v>
                </c:pt>
                <c:pt idx="15">
                  <c:v>106.84121064096638</c:v>
                </c:pt>
                <c:pt idx="16">
                  <c:v>108.14327678394612</c:v>
                </c:pt>
                <c:pt idx="17">
                  <c:v>104.79982177041389</c:v>
                </c:pt>
                <c:pt idx="18">
                  <c:v>104.80889827711401</c:v>
                </c:pt>
                <c:pt idx="19">
                  <c:v>105.34193676150242</c:v>
                </c:pt>
                <c:pt idx="20">
                  <c:v>107.58300877945739</c:v>
                </c:pt>
                <c:pt idx="21">
                  <c:v>110.22592250313551</c:v>
                </c:pt>
                <c:pt idx="22">
                  <c:v>113.69892402138755</c:v>
                </c:pt>
                <c:pt idx="23">
                  <c:v>115.57115981252889</c:v>
                </c:pt>
                <c:pt idx="24">
                  <c:v>117.029176843356</c:v>
                </c:pt>
                <c:pt idx="25">
                  <c:v>118.67449996699452</c:v>
                </c:pt>
                <c:pt idx="26">
                  <c:v>116.08191959865337</c:v>
                </c:pt>
                <c:pt idx="27">
                  <c:v>117.24041190837677</c:v>
                </c:pt>
                <c:pt idx="28">
                  <c:v>122.31582942768497</c:v>
                </c:pt>
                <c:pt idx="29">
                  <c:v>126.29711532114328</c:v>
                </c:pt>
                <c:pt idx="30">
                  <c:v>124.04696679648819</c:v>
                </c:pt>
                <c:pt idx="31">
                  <c:v>120.07970823156643</c:v>
                </c:pt>
                <c:pt idx="32">
                  <c:v>121.62436464453097</c:v>
                </c:pt>
                <c:pt idx="33">
                  <c:v>125.97778731269389</c:v>
                </c:pt>
                <c:pt idx="34">
                  <c:v>127.84507228199882</c:v>
                </c:pt>
                <c:pt idx="35">
                  <c:v>122.2143375800383</c:v>
                </c:pt>
                <c:pt idx="36">
                  <c:v>121.1598125288798</c:v>
                </c:pt>
                <c:pt idx="37">
                  <c:v>113.74925737672454</c:v>
                </c:pt>
                <c:pt idx="38">
                  <c:v>109.79520100336659</c:v>
                </c:pt>
                <c:pt idx="39">
                  <c:v>109.14086738398576</c:v>
                </c:pt>
                <c:pt idx="40">
                  <c:v>114.33015380553174</c:v>
                </c:pt>
                <c:pt idx="41">
                  <c:v>115.55053138821047</c:v>
                </c:pt>
                <c:pt idx="42">
                  <c:v>105.61753251039674</c:v>
                </c:pt>
                <c:pt idx="43">
                  <c:v>104.57620965080206</c:v>
                </c:pt>
                <c:pt idx="44">
                  <c:v>105.85104627368143</c:v>
                </c:pt>
                <c:pt idx="45">
                  <c:v>96.240675952208065</c:v>
                </c:pt>
                <c:pt idx="46">
                  <c:v>79.935144233942836</c:v>
                </c:pt>
                <c:pt idx="47">
                  <c:v>73.952076044623411</c:v>
                </c:pt>
                <c:pt idx="48">
                  <c:v>74.530497062512381</c:v>
                </c:pt>
                <c:pt idx="49">
                  <c:v>68.146412304442549</c:v>
                </c:pt>
                <c:pt idx="50">
                  <c:v>60.65499372895902</c:v>
                </c:pt>
                <c:pt idx="51">
                  <c:v>65.835203643804874</c:v>
                </c:pt>
                <c:pt idx="52">
                  <c:v>72.018780117499503</c:v>
                </c:pt>
                <c:pt idx="53">
                  <c:v>75.841639712192233</c:v>
                </c:pt>
                <c:pt idx="54">
                  <c:v>75.856492177701512</c:v>
                </c:pt>
                <c:pt idx="55">
                  <c:v>81.480625783880129</c:v>
                </c:pt>
                <c:pt idx="56">
                  <c:v>84.215129711532114</c:v>
                </c:pt>
                <c:pt idx="57">
                  <c:v>87.223579114132946</c:v>
                </c:pt>
                <c:pt idx="58">
                  <c:v>85.499867978084367</c:v>
                </c:pt>
                <c:pt idx="59">
                  <c:v>90.404482144035924</c:v>
                </c:pt>
                <c:pt idx="60">
                  <c:v>92.011023829955775</c:v>
                </c:pt>
                <c:pt idx="61">
                  <c:v>88.608984091359176</c:v>
                </c:pt>
                <c:pt idx="62">
                  <c:v>91.135553501881333</c:v>
                </c:pt>
                <c:pt idx="63">
                  <c:v>96.493993002838494</c:v>
                </c:pt>
                <c:pt idx="64">
                  <c:v>97.918179417783364</c:v>
                </c:pt>
                <c:pt idx="65">
                  <c:v>89.891246946993206</c:v>
                </c:pt>
                <c:pt idx="66">
                  <c:v>85.047692917024222</c:v>
                </c:pt>
                <c:pt idx="67">
                  <c:v>90.897088916760168</c:v>
                </c:pt>
                <c:pt idx="68">
                  <c:v>86.584097960261388</c:v>
                </c:pt>
                <c:pt idx="69">
                  <c:v>94.164631328800581</c:v>
                </c:pt>
                <c:pt idx="70">
                  <c:v>97.635157436134392</c:v>
                </c:pt>
                <c:pt idx="71">
                  <c:v>97.411545316522535</c:v>
                </c:pt>
                <c:pt idx="72">
                  <c:v>103.77252623935574</c:v>
                </c:pt>
                <c:pt idx="73">
                  <c:v>106.12251633771204</c:v>
                </c:pt>
                <c:pt idx="74">
                  <c:v>109.51382929566307</c:v>
                </c:pt>
                <c:pt idx="75">
                  <c:v>109.39913525645255</c:v>
                </c:pt>
                <c:pt idx="76">
                  <c:v>112.51650273945472</c:v>
                </c:pt>
                <c:pt idx="77">
                  <c:v>110.99742557264504</c:v>
                </c:pt>
                <c:pt idx="78">
                  <c:v>108.97088916760181</c:v>
                </c:pt>
                <c:pt idx="79">
                  <c:v>106.63080071291832</c:v>
                </c:pt>
                <c:pt idx="80">
                  <c:v>100.57512046999801</c:v>
                </c:pt>
                <c:pt idx="81">
                  <c:v>93.357647369463322</c:v>
                </c:pt>
                <c:pt idx="82">
                  <c:v>103.41441679318764</c:v>
                </c:pt>
                <c:pt idx="83">
                  <c:v>102.89127995247209</c:v>
                </c:pt>
                <c:pt idx="84">
                  <c:v>103.76922569146474</c:v>
                </c:pt>
                <c:pt idx="85">
                  <c:v>108.29180143903885</c:v>
                </c:pt>
                <c:pt idx="86">
                  <c:v>112.68730609281137</c:v>
                </c:pt>
                <c:pt idx="87">
                  <c:v>116.218067199155</c:v>
                </c:pt>
                <c:pt idx="88">
                  <c:v>115.34672255594424</c:v>
                </c:pt>
                <c:pt idx="89">
                  <c:v>108.12017294870942</c:v>
                </c:pt>
                <c:pt idx="90">
                  <c:v>112.39685787840776</c:v>
                </c:pt>
                <c:pt idx="91">
                  <c:v>113.81279292362525</c:v>
                </c:pt>
                <c:pt idx="92">
                  <c:v>116.06211631130759</c:v>
                </c:pt>
                <c:pt idx="93">
                  <c:v>118.87500825136966</c:v>
                </c:pt>
                <c:pt idx="94">
                  <c:v>116.52254274209513</c:v>
                </c:pt>
                <c:pt idx="95">
                  <c:v>116.8542478051356</c:v>
                </c:pt>
                <c:pt idx="96">
                  <c:v>117.6802099148458</c:v>
                </c:pt>
                <c:pt idx="97">
                  <c:v>123.61459502277371</c:v>
                </c:pt>
                <c:pt idx="98">
                  <c:v>124.98184698659972</c:v>
                </c:pt>
                <c:pt idx="99">
                  <c:v>129.47966862499169</c:v>
                </c:pt>
                <c:pt idx="100">
                  <c:v>131.82140735362063</c:v>
                </c:pt>
                <c:pt idx="101">
                  <c:v>134.55838669219085</c:v>
                </c:pt>
                <c:pt idx="102">
                  <c:v>132.54010165687498</c:v>
                </c:pt>
                <c:pt idx="103">
                  <c:v>139.09581490527424</c:v>
                </c:pt>
                <c:pt idx="104">
                  <c:v>134.74239223711132</c:v>
                </c:pt>
                <c:pt idx="105">
                  <c:v>138.75090765066997</c:v>
                </c:pt>
                <c:pt idx="106">
                  <c:v>144.9386098092283</c:v>
                </c:pt>
                <c:pt idx="107">
                  <c:v>149.00405967390583</c:v>
                </c:pt>
                <c:pt idx="108">
                  <c:v>152.51501749290375</c:v>
                </c:pt>
                <c:pt idx="109">
                  <c:v>147.08809162320938</c:v>
                </c:pt>
                <c:pt idx="110">
                  <c:v>153.43009439566961</c:v>
                </c:pt>
                <c:pt idx="111">
                  <c:v>154.4936959535282</c:v>
                </c:pt>
                <c:pt idx="112">
                  <c:v>155.45167997887643</c:v>
                </c:pt>
                <c:pt idx="113">
                  <c:v>158.72087266486227</c:v>
                </c:pt>
                <c:pt idx="114">
                  <c:v>161.74582480691785</c:v>
                </c:pt>
                <c:pt idx="115">
                  <c:v>159.30671991550588</c:v>
                </c:pt>
                <c:pt idx="116">
                  <c:v>165.30546570730729</c:v>
                </c:pt>
                <c:pt idx="117">
                  <c:v>162.74093999603923</c:v>
                </c:pt>
                <c:pt idx="118">
                  <c:v>166.5167667832859</c:v>
                </c:pt>
                <c:pt idx="119">
                  <c:v>170.60201993530916</c:v>
                </c:pt>
                <c:pt idx="120">
                  <c:v>169.88745131691851</c:v>
                </c:pt>
                <c:pt idx="121">
                  <c:v>164.61400092415332</c:v>
                </c:pt>
                <c:pt idx="122">
                  <c:v>173.65007591260138</c:v>
                </c:pt>
                <c:pt idx="123">
                  <c:v>170.62924945540948</c:v>
                </c:pt>
                <c:pt idx="124">
                  <c:v>172.08314080137291</c:v>
                </c:pt>
                <c:pt idx="125">
                  <c:v>173.88854049772249</c:v>
                </c:pt>
                <c:pt idx="126">
                  <c:v>170.23483398244099</c:v>
                </c:pt>
                <c:pt idx="127">
                  <c:v>173.59561687240071</c:v>
                </c:pt>
                <c:pt idx="128">
                  <c:v>162.73186348933913</c:v>
                </c:pt>
                <c:pt idx="129">
                  <c:v>158.4287741765132</c:v>
                </c:pt>
                <c:pt idx="130">
                  <c:v>171.5756815631394</c:v>
                </c:pt>
                <c:pt idx="131">
                  <c:v>171.6623209452768</c:v>
                </c:pt>
                <c:pt idx="132">
                  <c:v>168.65304640570326</c:v>
                </c:pt>
                <c:pt idx="133">
                  <c:v>160.09637599841565</c:v>
                </c:pt>
                <c:pt idx="134">
                  <c:v>159.43544128325294</c:v>
                </c:pt>
                <c:pt idx="135">
                  <c:v>169.95676282262843</c:v>
                </c:pt>
                <c:pt idx="136">
                  <c:v>170.41553897947051</c:v>
                </c:pt>
                <c:pt idx="137">
                  <c:v>173.02792263515735</c:v>
                </c:pt>
                <c:pt idx="138">
                  <c:v>173.18469865997747</c:v>
                </c:pt>
                <c:pt idx="139">
                  <c:v>179.35177239421733</c:v>
                </c:pt>
                <c:pt idx="140">
                  <c:v>179.13311109644189</c:v>
                </c:pt>
                <c:pt idx="141">
                  <c:v>178.91197438774827</c:v>
                </c:pt>
                <c:pt idx="142">
                  <c:v>175.43649745857803</c:v>
                </c:pt>
                <c:pt idx="143">
                  <c:v>181.4319427024885</c:v>
                </c:pt>
                <c:pt idx="144">
                  <c:v>184.73414086738387</c:v>
                </c:pt>
                <c:pt idx="145">
                  <c:v>188.03798930622469</c:v>
                </c:pt>
                <c:pt idx="146">
                  <c:v>195.03267542412027</c:v>
                </c:pt>
                <c:pt idx="147">
                  <c:v>194.95676282262841</c:v>
                </c:pt>
                <c:pt idx="148">
                  <c:v>196.72915704006849</c:v>
                </c:pt>
                <c:pt idx="149">
                  <c:v>199.00653508482395</c:v>
                </c:pt>
                <c:pt idx="150">
                  <c:v>199.96451911017215</c:v>
                </c:pt>
                <c:pt idx="151">
                  <c:v>203.83358637533817</c:v>
                </c:pt>
                <c:pt idx="152">
                  <c:v>203.94497986665772</c:v>
                </c:pt>
                <c:pt idx="153">
                  <c:v>207.88170836358822</c:v>
                </c:pt>
                <c:pt idx="154">
                  <c:v>212.49422404119073</c:v>
                </c:pt>
                <c:pt idx="155">
                  <c:v>218.46161462802814</c:v>
                </c:pt>
                <c:pt idx="156">
                  <c:v>220.60944616806381</c:v>
                </c:pt>
                <c:pt idx="157">
                  <c:v>233.00300349858065</c:v>
                </c:pt>
                <c:pt idx="158">
                  <c:v>223.92814707241391</c:v>
                </c:pt>
                <c:pt idx="159">
                  <c:v>217.9079477193213</c:v>
                </c:pt>
                <c:pt idx="160">
                  <c:v>218.50039606574686</c:v>
                </c:pt>
                <c:pt idx="161">
                  <c:v>223.22182982375068</c:v>
                </c:pt>
                <c:pt idx="162">
                  <c:v>224.30275925803676</c:v>
                </c:pt>
                <c:pt idx="163">
                  <c:v>232.38250049508213</c:v>
                </c:pt>
                <c:pt idx="164">
                  <c:v>239.41514291372363</c:v>
                </c:pt>
                <c:pt idx="165">
                  <c:v>240.44326358175454</c:v>
                </c:pt>
                <c:pt idx="166">
                  <c:v>223.75569344511183</c:v>
                </c:pt>
                <c:pt idx="167">
                  <c:v>227.75183180407944</c:v>
                </c:pt>
                <c:pt idx="168">
                  <c:v>206.84946201069371</c:v>
                </c:pt>
                <c:pt idx="169">
                  <c:v>223.12528879794039</c:v>
                </c:pt>
                <c:pt idx="170">
                  <c:v>229.75856492177695</c:v>
                </c:pt>
                <c:pt idx="171">
                  <c:v>233.87682355270971</c:v>
                </c:pt>
                <c:pt idx="172">
                  <c:v>243.07132483992336</c:v>
                </c:pt>
                <c:pt idx="173">
                  <c:v>227.08264571918932</c:v>
                </c:pt>
                <c:pt idx="174">
                  <c:v>242.73549409201922</c:v>
                </c:pt>
                <c:pt idx="175">
                  <c:v>245.92217308073134</c:v>
                </c:pt>
                <c:pt idx="176">
                  <c:v>241.47303452373089</c:v>
                </c:pt>
                <c:pt idx="177">
                  <c:v>245.62182322265488</c:v>
                </c:pt>
                <c:pt idx="178">
                  <c:v>250.64030629084422</c:v>
                </c:pt>
                <c:pt idx="179">
                  <c:v>259.17387286289522</c:v>
                </c:pt>
                <c:pt idx="180">
                  <c:v>266.58360287807778</c:v>
                </c:pt>
                <c:pt idx="181">
                  <c:v>266.14958083041785</c:v>
                </c:pt>
                <c:pt idx="182">
                  <c:v>243.76361476005013</c:v>
                </c:pt>
                <c:pt idx="183">
                  <c:v>213.2640768367549</c:v>
                </c:pt>
                <c:pt idx="184">
                  <c:v>240.31536735098024</c:v>
                </c:pt>
                <c:pt idx="185">
                  <c:v>251.19727374744207</c:v>
                </c:pt>
                <c:pt idx="186">
                  <c:v>255.81639052082645</c:v>
                </c:pt>
                <c:pt idx="187">
                  <c:v>269.91220542610074</c:v>
                </c:pt>
                <c:pt idx="188">
                  <c:v>288.82351970427089</c:v>
                </c:pt>
                <c:pt idx="189">
                  <c:v>277.49356393161264</c:v>
                </c:pt>
                <c:pt idx="190">
                  <c:v>269.81648953726318</c:v>
                </c:pt>
                <c:pt idx="191">
                  <c:v>298.83408145752196</c:v>
                </c:pt>
                <c:pt idx="192">
                  <c:v>309.92722291900458</c:v>
                </c:pt>
                <c:pt idx="193">
                  <c:v>306.47567496204368</c:v>
                </c:pt>
                <c:pt idx="194">
                  <c:v>314.47207736484262</c:v>
                </c:pt>
                <c:pt idx="195">
                  <c:v>327.81784276189853</c:v>
                </c:pt>
                <c:pt idx="196">
                  <c:v>345.00379563007471</c:v>
                </c:pt>
                <c:pt idx="197">
                  <c:v>346.89665984553443</c:v>
                </c:pt>
                <c:pt idx="198">
                  <c:v>354.60261403392968</c:v>
                </c:pt>
                <c:pt idx="199">
                  <c:v>362.66915307941127</c:v>
                </c:pt>
                <c:pt idx="200">
                  <c:v>373.18304838603223</c:v>
                </c:pt>
                <c:pt idx="201">
                  <c:v>355.43105155455817</c:v>
                </c:pt>
                <c:pt idx="202">
                  <c:v>380.00693115057112</c:v>
                </c:pt>
                <c:pt idx="203">
                  <c:v>376.84005544920467</c:v>
                </c:pt>
                <c:pt idx="204">
                  <c:v>393.27513367218972</c:v>
                </c:pt>
                <c:pt idx="205">
                  <c:v>372.59472572447038</c:v>
                </c:pt>
                <c:pt idx="206">
                  <c:v>360.90996105353497</c:v>
                </c:pt>
                <c:pt idx="207">
                  <c:v>373.8208792659583</c:v>
                </c:pt>
                <c:pt idx="208">
                  <c:v>340.94082117631547</c:v>
                </c:pt>
                <c:pt idx="209">
                  <c:v>340.95897418971566</c:v>
                </c:pt>
                <c:pt idx="210">
                  <c:v>312.34569938609826</c:v>
                </c:pt>
                <c:pt idx="211">
                  <c:v>340.80549871278646</c:v>
                </c:pt>
                <c:pt idx="212">
                  <c:v>326.34167271767126</c:v>
                </c:pt>
                <c:pt idx="213">
                  <c:v>295.8627632186944</c:v>
                </c:pt>
                <c:pt idx="214">
                  <c:v>319.4913855700047</c:v>
                </c:pt>
                <c:pt idx="215">
                  <c:v>336.66496138358974</c:v>
                </c:pt>
                <c:pt idx="216">
                  <c:v>316.81134068255335</c:v>
                </c:pt>
                <c:pt idx="217">
                  <c:v>336.37533830615882</c:v>
                </c:pt>
                <c:pt idx="218">
                  <c:v>327.59175523136844</c:v>
                </c:pt>
                <c:pt idx="219">
                  <c:v>339.07436134398313</c:v>
                </c:pt>
                <c:pt idx="220">
                  <c:v>344.03921050894445</c:v>
                </c:pt>
                <c:pt idx="221">
                  <c:v>344.89322727572778</c:v>
                </c:pt>
                <c:pt idx="222">
                  <c:v>367.21730807314015</c:v>
                </c:pt>
                <c:pt idx="223">
                  <c:v>378.65205624133608</c:v>
                </c:pt>
                <c:pt idx="224">
                  <c:v>371.94369265298042</c:v>
                </c:pt>
                <c:pt idx="225">
                  <c:v>353.82285959469277</c:v>
                </c:pt>
                <c:pt idx="226">
                  <c:v>346.04594362664204</c:v>
                </c:pt>
                <c:pt idx="227">
                  <c:v>376.90606640702362</c:v>
                </c:pt>
                <c:pt idx="228">
                  <c:v>393.57630866723878</c:v>
                </c:pt>
                <c:pt idx="229">
                  <c:v>399.83249719453426</c:v>
                </c:pt>
                <c:pt idx="230">
                  <c:v>420.51208000528089</c:v>
                </c:pt>
                <c:pt idx="231">
                  <c:v>433.55584527031488</c:v>
                </c:pt>
                <c:pt idx="232">
                  <c:v>415.51340022443719</c:v>
                </c:pt>
                <c:pt idx="233">
                  <c:v>435.46686249917491</c:v>
                </c:pt>
                <c:pt idx="234">
                  <c:v>450.56439368935247</c:v>
                </c:pt>
                <c:pt idx="235">
                  <c:v>455.66539045481557</c:v>
                </c:pt>
                <c:pt idx="236">
                  <c:v>466.07036768103507</c:v>
                </c:pt>
                <c:pt idx="237">
                  <c:v>475.48353026602416</c:v>
                </c:pt>
                <c:pt idx="238">
                  <c:v>470.77777411050238</c:v>
                </c:pt>
                <c:pt idx="239">
                  <c:v>497.75397716020865</c:v>
                </c:pt>
                <c:pt idx="240">
                  <c:v>485.31503729619118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7E-4227-A803-DD3D24B65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858048"/>
        <c:axId val="1153862368"/>
      </c:scatterChart>
      <c:valAx>
        <c:axId val="1153858048"/>
        <c:scaling>
          <c:orientation val="minMax"/>
          <c:max val="45657"/>
          <c:min val="3835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Date</a:t>
                </a:r>
              </a:p>
            </c:rich>
          </c:tx>
          <c:layout>
            <c:manualLayout>
              <c:xMode val="edge"/>
              <c:yMode val="edge"/>
              <c:x val="0.49929427325521325"/>
              <c:y val="0.883903006442376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62368"/>
        <c:crosses val="autoZero"/>
        <c:crossBetween val="midCat"/>
        <c:majorUnit val="420"/>
        <c:minorUnit val="30"/>
      </c:valAx>
      <c:valAx>
        <c:axId val="1153862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Stock</a:t>
                </a:r>
                <a:r>
                  <a:rPr lang="en-SG" baseline="0"/>
                  <a:t> Price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G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858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Holding Period</a:t>
            </a:r>
            <a:r>
              <a:rPr lang="en-SG" baseline="0"/>
              <a:t> Returns of Stocks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173-4F1A-8AAB-52710990B7B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173-4F1A-8AAB-52710990B7B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1 GRAPH student '!$B$52:$D$52</c:f>
              <c:strCache>
                <c:ptCount val="3"/>
                <c:pt idx="0">
                  <c:v>XOM</c:v>
                </c:pt>
                <c:pt idx="1">
                  <c:v>JNJ</c:v>
                </c:pt>
                <c:pt idx="2">
                  <c:v>AMD</c:v>
                </c:pt>
              </c:strCache>
            </c:strRef>
          </c:cat>
          <c:val>
            <c:numRef>
              <c:f>'Task 1 GRAPH student '!$B$53:$D$53</c:f>
              <c:numCache>
                <c:formatCode>0.00%</c:formatCode>
                <c:ptCount val="3"/>
                <c:pt idx="0">
                  <c:v>1.0985174252266101</c:v>
                </c:pt>
                <c:pt idx="1">
                  <c:v>1.2803531897294056</c:v>
                </c:pt>
                <c:pt idx="2">
                  <c:v>4.4854676841271353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73-4F1A-8AAB-52710990B7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663657343"/>
        <c:axId val="663655423"/>
      </c:barChart>
      <c:catAx>
        <c:axId val="66365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55423"/>
        <c:crosses val="autoZero"/>
        <c:auto val="1"/>
        <c:lblAlgn val="ctr"/>
        <c:lblOffset val="100"/>
        <c:noMultiLvlLbl val="0"/>
      </c:catAx>
      <c:valAx>
        <c:axId val="66365542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Returns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65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Risk Level</a:t>
            </a:r>
            <a:r>
              <a:rPr lang="en-SG" baseline="0"/>
              <a:t> of Stocks</a:t>
            </a:r>
            <a:endParaRPr lang="en-S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G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27-4311-9BCC-E88C00033CC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A27-4311-9BCC-E88C00033CC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1 GRAPH student '!$B$70:$D$70</c:f>
              <c:strCache>
                <c:ptCount val="3"/>
                <c:pt idx="0">
                  <c:v>XOM</c:v>
                </c:pt>
                <c:pt idx="1">
                  <c:v>JNJ</c:v>
                </c:pt>
                <c:pt idx="2">
                  <c:v>AMD</c:v>
                </c:pt>
              </c:strCache>
            </c:strRef>
          </c:cat>
          <c:val>
            <c:numRef>
              <c:f>'Task 1 GRAPH student '!$B$71:$D$71</c:f>
              <c:numCache>
                <c:formatCode>0.00%</c:formatCode>
                <c:ptCount val="3"/>
                <c:pt idx="0">
                  <c:v>6.6462320601639382E-2</c:v>
                </c:pt>
                <c:pt idx="1">
                  <c:v>4.2741083533378674E-2</c:v>
                </c:pt>
                <c:pt idx="2">
                  <c:v>0.16898694830605113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7-4311-9BCC-E88C00033CC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11902159"/>
        <c:axId val="611902639"/>
      </c:barChart>
      <c:catAx>
        <c:axId val="61190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02639"/>
        <c:crosses val="autoZero"/>
        <c:auto val="1"/>
        <c:lblAlgn val="ctr"/>
        <c:lblOffset val="100"/>
        <c:noMultiLvlLbl val="0"/>
      </c:catAx>
      <c:valAx>
        <c:axId val="6119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90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149225</xdr:colOff>
      <xdr:row>5</xdr:row>
      <xdr:rowOff>9525</xdr:rowOff>
    </xdr:from>
    <xdr:to>
      <xdr:col>8</xdr:col>
      <xdr:colOff>371475</xdr:colOff>
      <xdr:row>32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179D0A-2D1D-B576-B85E-BFDCFE149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210255</xdr:colOff>
      <xdr:row>35</xdr:row>
      <xdr:rowOff>97014</xdr:rowOff>
    </xdr:from>
    <xdr:to>
      <xdr:col>5</xdr:col>
      <xdr:colOff>537986</xdr:colOff>
      <xdr:row>50</xdr:row>
      <xdr:rowOff>26458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895E4F-A42B-1674-5247-7107E9C30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165806</xdr:colOff>
      <xdr:row>54</xdr:row>
      <xdr:rowOff>132291</xdr:rowOff>
    </xdr:from>
    <xdr:to>
      <xdr:col>5</xdr:col>
      <xdr:colOff>883709</xdr:colOff>
      <xdr:row>67</xdr:row>
      <xdr:rowOff>53091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A5D63F-D00A-242E-988D-7E92A1BA9A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0"/>
  <sheetViews>
    <sheetView zoomScale="110" zoomScaleNormal="110" workbookViewId="0">
      <selection activeCell="G23" sqref="G23"/>
    </sheetView>
  </sheetViews>
  <sheetFormatPr defaultColWidth="8.85546875" defaultRowHeight="12.6"/>
  <cols>
    <col min="1" max="1" width="10.7109375" style="26" customWidth="1"/>
    <col min="2" max="4" width="9" style="26" customWidth="1"/>
    <col min="5" max="5" width="11.7109375" style="25" customWidth="1"/>
    <col min="6" max="6" width="15.140625" style="29" bestFit="1" customWidth="1"/>
    <col min="7" max="7" width="8.85546875" style="26"/>
    <col min="8" max="8" width="15.28515625" style="26" customWidth="1"/>
    <col min="9" max="16384" width="8.85546875" style="26"/>
  </cols>
  <sheetData>
    <row r="1" spans="1:12" s="20" customFormat="1" ht="12.95">
      <c r="A1" s="30" t="s">
        <v>0</v>
      </c>
      <c r="B1" s="30" t="s">
        <v>1</v>
      </c>
      <c r="C1" s="30" t="s">
        <v>2</v>
      </c>
      <c r="D1" s="30" t="s">
        <v>3</v>
      </c>
      <c r="E1" s="31" t="s">
        <v>4</v>
      </c>
      <c r="F1" s="24" t="s">
        <v>5</v>
      </c>
      <c r="G1" s="28"/>
      <c r="H1" s="23"/>
      <c r="I1" s="23"/>
      <c r="J1" s="23"/>
      <c r="K1" s="23"/>
      <c r="L1" s="23"/>
    </row>
    <row r="2" spans="1:12">
      <c r="A2" s="32">
        <v>38352</v>
      </c>
      <c r="B2" s="33">
        <v>51.259998321533203</v>
      </c>
      <c r="C2" s="33">
        <v>63.419998168945313</v>
      </c>
      <c r="D2" s="33">
        <v>22.020000457763672</v>
      </c>
      <c r="E2" s="33">
        <v>100</v>
      </c>
      <c r="F2" s="4">
        <v>1.6000000000000001E-3</v>
      </c>
      <c r="H2" s="22"/>
      <c r="I2" s="21"/>
      <c r="J2" s="21"/>
      <c r="K2" s="21"/>
      <c r="L2" s="21"/>
    </row>
    <row r="3" spans="1:12">
      <c r="A3" s="32">
        <v>38383</v>
      </c>
      <c r="B3" s="33">
        <v>51.599998474121094</v>
      </c>
      <c r="C3" s="33">
        <v>64.699996948242188</v>
      </c>
      <c r="D3" s="33">
        <v>15.800000190734863</v>
      </c>
      <c r="E3" s="33">
        <v>97.470955178559635</v>
      </c>
      <c r="F3" s="4">
        <v>1.6000000000000001E-3</v>
      </c>
      <c r="H3" s="22"/>
      <c r="I3" s="21"/>
      <c r="J3" s="21"/>
      <c r="K3" s="21"/>
      <c r="L3" s="21"/>
    </row>
    <row r="4" spans="1:12">
      <c r="A4" s="32">
        <v>38411</v>
      </c>
      <c r="B4" s="33">
        <v>63.310001373291016</v>
      </c>
      <c r="C4" s="33">
        <v>65.599998474121094</v>
      </c>
      <c r="D4" s="33">
        <v>17.450000762939453</v>
      </c>
      <c r="E4" s="33">
        <v>99.313486038682399</v>
      </c>
      <c r="F4" s="4">
        <v>1.6000000000000001E-3</v>
      </c>
      <c r="H4" s="22"/>
      <c r="I4" s="21"/>
      <c r="J4" s="21"/>
      <c r="K4" s="21"/>
      <c r="L4" s="21"/>
    </row>
    <row r="5" spans="1:12">
      <c r="A5" s="32">
        <v>38442</v>
      </c>
      <c r="B5" s="33">
        <v>59.599998474121094</v>
      </c>
      <c r="C5" s="33">
        <v>67.160003662109375</v>
      </c>
      <c r="D5" s="33">
        <v>16.120000839233398</v>
      </c>
      <c r="E5" s="33">
        <v>97.414845864413465</v>
      </c>
      <c r="F5" s="4">
        <v>2.0999999999999999E-3</v>
      </c>
      <c r="H5" s="22"/>
      <c r="I5" s="21"/>
      <c r="J5" s="21"/>
      <c r="K5" s="21"/>
      <c r="L5" s="21"/>
    </row>
    <row r="6" spans="1:12">
      <c r="A6" s="32">
        <v>38471</v>
      </c>
      <c r="B6" s="33">
        <v>57.029998779296875</v>
      </c>
      <c r="C6" s="33">
        <v>68.629997253417969</v>
      </c>
      <c r="D6" s="33">
        <v>14.229999542236328</v>
      </c>
      <c r="E6" s="33">
        <v>95.455970691134695</v>
      </c>
      <c r="F6" s="4">
        <v>2.0999999999999999E-3</v>
      </c>
      <c r="H6" s="22"/>
      <c r="I6" s="21"/>
      <c r="J6" s="21"/>
      <c r="K6" s="21"/>
      <c r="L6" s="21"/>
    </row>
    <row r="7" spans="1:12">
      <c r="A7" s="32">
        <v>38503</v>
      </c>
      <c r="B7" s="33">
        <v>56.200000762939453</v>
      </c>
      <c r="C7" s="33">
        <v>67.099998474121094</v>
      </c>
      <c r="D7" s="33">
        <v>16.399999618530273</v>
      </c>
      <c r="E7" s="33">
        <v>98.315070301670062</v>
      </c>
      <c r="F7" s="4">
        <v>2.3999999999999998E-3</v>
      </c>
      <c r="H7" s="22"/>
      <c r="I7" s="21"/>
      <c r="J7" s="21"/>
      <c r="K7" s="21"/>
      <c r="L7" s="21"/>
    </row>
    <row r="8" spans="1:12">
      <c r="A8" s="32">
        <v>38533</v>
      </c>
      <c r="B8" s="33">
        <v>57.470001220703125</v>
      </c>
      <c r="C8" s="33">
        <v>65</v>
      </c>
      <c r="D8" s="33">
        <v>17.340000152587891</v>
      </c>
      <c r="E8" s="33">
        <v>98.301042973133519</v>
      </c>
      <c r="F8" s="4">
        <v>2.3E-3</v>
      </c>
      <c r="H8" s="22"/>
      <c r="I8" s="21"/>
      <c r="J8" s="21"/>
      <c r="K8" s="21"/>
      <c r="L8" s="21"/>
    </row>
    <row r="9" spans="1:12">
      <c r="A9" s="32">
        <v>38562</v>
      </c>
      <c r="B9" s="33">
        <v>58.75</v>
      </c>
      <c r="C9" s="33">
        <v>63.959999084472656</v>
      </c>
      <c r="D9" s="33">
        <v>20.079999923706055</v>
      </c>
      <c r="E9" s="33">
        <v>101.83675490131361</v>
      </c>
      <c r="F9" s="4">
        <v>2.3999999999999998E-3</v>
      </c>
      <c r="H9" s="22"/>
      <c r="I9" s="21"/>
      <c r="J9" s="21"/>
      <c r="K9" s="21"/>
      <c r="L9" s="21"/>
    </row>
    <row r="10" spans="1:12">
      <c r="A10" s="32">
        <v>38595</v>
      </c>
      <c r="B10" s="33">
        <v>59.900001525878906</v>
      </c>
      <c r="C10" s="33">
        <v>63.389999389648438</v>
      </c>
      <c r="D10" s="33">
        <v>20.770000457763672</v>
      </c>
      <c r="E10" s="33">
        <v>100.6939401940722</v>
      </c>
      <c r="F10" s="4">
        <v>3.0000000000000001E-3</v>
      </c>
      <c r="H10" s="22"/>
      <c r="I10" s="21"/>
      <c r="J10" s="21"/>
      <c r="K10" s="21"/>
      <c r="L10" s="21"/>
    </row>
    <row r="11" spans="1:12">
      <c r="A11" s="32">
        <v>38625</v>
      </c>
      <c r="B11" s="33">
        <v>63.540000915527344</v>
      </c>
      <c r="C11" s="33">
        <v>63.279998779296875</v>
      </c>
      <c r="D11" s="33">
        <v>25.200000762939453</v>
      </c>
      <c r="E11" s="33">
        <v>101.39365634695358</v>
      </c>
      <c r="F11" s="4">
        <v>2.8999999999999998E-3</v>
      </c>
      <c r="H11" s="22"/>
      <c r="I11" s="21"/>
      <c r="J11" s="21"/>
      <c r="K11" s="21"/>
      <c r="L11" s="21"/>
    </row>
    <row r="12" spans="1:12">
      <c r="A12" s="32">
        <v>38656</v>
      </c>
      <c r="B12" s="33">
        <v>56.139999389648438</v>
      </c>
      <c r="C12" s="33">
        <v>62.619998931884766</v>
      </c>
      <c r="D12" s="33">
        <v>23.219999313354492</v>
      </c>
      <c r="E12" s="33">
        <v>99.594857746385884</v>
      </c>
      <c r="F12" s="4">
        <v>2.7000000000000001E-3</v>
      </c>
      <c r="H12" s="22"/>
      <c r="I12" s="21"/>
      <c r="J12" s="21"/>
      <c r="K12" s="21"/>
      <c r="L12" s="21"/>
    </row>
    <row r="13" spans="1:12">
      <c r="A13" s="32">
        <v>38686</v>
      </c>
      <c r="B13" s="33">
        <v>58.029998779296875</v>
      </c>
      <c r="C13" s="33">
        <v>61.75</v>
      </c>
      <c r="D13" s="33">
        <v>26.180000305175781</v>
      </c>
      <c r="E13" s="33">
        <v>103.09921446960193</v>
      </c>
      <c r="F13" s="4">
        <v>3.0999999999999999E-3</v>
      </c>
      <c r="H13" s="22"/>
      <c r="I13" s="21"/>
      <c r="J13" s="21"/>
      <c r="K13" s="21"/>
      <c r="L13" s="21"/>
    </row>
    <row r="14" spans="1:12">
      <c r="A14" s="32">
        <v>38716</v>
      </c>
      <c r="B14" s="33">
        <v>56.169998168945313</v>
      </c>
      <c r="C14" s="33">
        <v>60.099998474121094</v>
      </c>
      <c r="D14" s="33">
        <v>30.600000381469727</v>
      </c>
      <c r="E14" s="33">
        <v>103.00102316984616</v>
      </c>
      <c r="F14" s="4">
        <v>3.2000000000000002E-3</v>
      </c>
      <c r="H14" s="22"/>
      <c r="I14" s="21"/>
      <c r="J14" s="21"/>
      <c r="K14" s="21"/>
      <c r="L14" s="21"/>
    </row>
    <row r="15" spans="1:12">
      <c r="A15" s="32">
        <v>38748</v>
      </c>
      <c r="B15" s="33">
        <v>62.75</v>
      </c>
      <c r="C15" s="33">
        <v>57.540000915527344</v>
      </c>
      <c r="D15" s="33">
        <v>41.799999237060547</v>
      </c>
      <c r="E15" s="33">
        <v>105.62413360617859</v>
      </c>
      <c r="F15" s="4">
        <v>3.4999999999999996E-3</v>
      </c>
      <c r="H15" s="22"/>
      <c r="I15" s="21"/>
      <c r="J15" s="21"/>
      <c r="K15" s="21"/>
      <c r="L15" s="21"/>
    </row>
    <row r="16" spans="1:12">
      <c r="A16" s="32">
        <v>38776</v>
      </c>
      <c r="B16" s="33">
        <v>59.369998931884766</v>
      </c>
      <c r="C16" s="33">
        <v>57.650001525878906</v>
      </c>
      <c r="D16" s="33">
        <v>38.669998168945313</v>
      </c>
      <c r="E16" s="33">
        <v>105.67199155059738</v>
      </c>
      <c r="F16" s="4">
        <v>3.4000000000000002E-3</v>
      </c>
      <c r="H16" s="22"/>
      <c r="I16" s="21"/>
      <c r="J16" s="21"/>
      <c r="K16" s="21"/>
      <c r="L16" s="21"/>
    </row>
    <row r="17" spans="1:12">
      <c r="A17" s="32">
        <v>38807</v>
      </c>
      <c r="B17" s="33">
        <v>60.860000610351563</v>
      </c>
      <c r="C17" s="33">
        <v>59.220001220703125</v>
      </c>
      <c r="D17" s="33">
        <v>33.159999847412109</v>
      </c>
      <c r="E17" s="33">
        <v>106.84121064096638</v>
      </c>
      <c r="F17" s="4">
        <v>3.7000000000000002E-3</v>
      </c>
      <c r="H17" s="22"/>
      <c r="I17" s="21"/>
      <c r="J17" s="21"/>
      <c r="K17" s="21"/>
      <c r="L17" s="21"/>
    </row>
    <row r="18" spans="1:12">
      <c r="A18" s="32">
        <v>38835</v>
      </c>
      <c r="B18" s="33">
        <v>63.080001831054688</v>
      </c>
      <c r="C18" s="33">
        <v>58.610000610351563</v>
      </c>
      <c r="D18" s="33">
        <v>32.349998474121094</v>
      </c>
      <c r="E18" s="33">
        <v>108.14327678394612</v>
      </c>
      <c r="F18" s="4">
        <v>3.5999999999999999E-3</v>
      </c>
      <c r="H18" s="22"/>
      <c r="I18" s="21"/>
      <c r="J18" s="21"/>
      <c r="K18" s="21"/>
      <c r="L18" s="21"/>
    </row>
    <row r="19" spans="1:12">
      <c r="A19" s="32">
        <v>38868</v>
      </c>
      <c r="B19" s="33">
        <v>60.909999847412109</v>
      </c>
      <c r="C19" s="33">
        <v>60.220001220703125</v>
      </c>
      <c r="D19" s="33">
        <v>30.889999389648438</v>
      </c>
      <c r="E19" s="33">
        <v>104.79982177041389</v>
      </c>
      <c r="F19" s="4">
        <v>4.3E-3</v>
      </c>
      <c r="H19" s="22"/>
      <c r="I19" s="21"/>
      <c r="J19" s="21"/>
      <c r="K19" s="21"/>
      <c r="L19" s="21"/>
    </row>
    <row r="20" spans="1:12">
      <c r="A20" s="32">
        <v>38898</v>
      </c>
      <c r="B20" s="33">
        <v>61.349998474121094</v>
      </c>
      <c r="C20" s="33">
        <v>59.919998168945313</v>
      </c>
      <c r="D20" s="33">
        <v>24.420000076293945</v>
      </c>
      <c r="E20" s="33">
        <v>104.80889827711401</v>
      </c>
      <c r="F20" s="4">
        <v>4.0000000000000001E-3</v>
      </c>
      <c r="H20" s="22"/>
      <c r="I20" s="21"/>
      <c r="J20" s="21"/>
      <c r="K20" s="21"/>
      <c r="L20" s="21"/>
    </row>
    <row r="21" spans="1:12">
      <c r="A21" s="32">
        <v>38929</v>
      </c>
      <c r="B21" s="33">
        <v>67.739997863769531</v>
      </c>
      <c r="C21" s="33">
        <v>62.549999237060547</v>
      </c>
      <c r="D21" s="33">
        <v>19.389999389648438</v>
      </c>
      <c r="E21" s="33">
        <v>105.34193676150242</v>
      </c>
      <c r="F21" s="4">
        <v>4.0000000000000001E-3</v>
      </c>
      <c r="H21" s="22"/>
      <c r="I21" s="21"/>
      <c r="J21" s="21"/>
      <c r="K21" s="21"/>
      <c r="L21" s="21"/>
    </row>
    <row r="22" spans="1:12">
      <c r="A22" s="32">
        <v>38960</v>
      </c>
      <c r="B22" s="33">
        <v>67.669998168945313</v>
      </c>
      <c r="C22" s="33">
        <v>64.660003662109375</v>
      </c>
      <c r="D22" s="33">
        <v>24.989999771118164</v>
      </c>
      <c r="E22" s="33">
        <v>107.58300877945739</v>
      </c>
      <c r="F22" s="4">
        <v>4.1999999999999997E-3</v>
      </c>
      <c r="H22" s="22"/>
      <c r="I22" s="21"/>
      <c r="J22" s="21"/>
      <c r="K22" s="21"/>
      <c r="L22" s="21"/>
    </row>
    <row r="23" spans="1:12">
      <c r="A23" s="32">
        <v>38989</v>
      </c>
      <c r="B23" s="33">
        <v>67.099998474121094</v>
      </c>
      <c r="C23" s="33">
        <v>64.94000244140625</v>
      </c>
      <c r="D23" s="33">
        <v>24.850000381469727</v>
      </c>
      <c r="E23" s="33">
        <v>110.22592250313551</v>
      </c>
      <c r="F23" s="4">
        <v>4.0999999999999995E-3</v>
      </c>
      <c r="H23" s="22"/>
      <c r="I23" s="21"/>
      <c r="J23" s="21"/>
      <c r="K23" s="21"/>
      <c r="L23" s="21"/>
    </row>
    <row r="24" spans="1:12">
      <c r="A24" s="32">
        <v>39021</v>
      </c>
      <c r="B24" s="33">
        <v>71.419998168945313</v>
      </c>
      <c r="C24" s="33">
        <v>67.400001525878906</v>
      </c>
      <c r="D24" s="33">
        <v>21.270000457763672</v>
      </c>
      <c r="E24" s="33">
        <v>113.69892402138755</v>
      </c>
      <c r="F24" s="4">
        <v>4.0999999999999995E-3</v>
      </c>
      <c r="H24" s="22"/>
      <c r="I24" s="21"/>
      <c r="J24" s="21"/>
      <c r="K24" s="21"/>
      <c r="L24" s="21"/>
    </row>
    <row r="25" spans="1:12">
      <c r="A25" s="32">
        <v>39051</v>
      </c>
      <c r="B25" s="33">
        <v>76.80999755859375</v>
      </c>
      <c r="C25" s="33">
        <v>65.910003662109375</v>
      </c>
      <c r="D25" s="33">
        <v>21.569999694824219</v>
      </c>
      <c r="E25" s="33">
        <v>115.57115981252889</v>
      </c>
      <c r="F25" s="4">
        <v>4.1999999999999997E-3</v>
      </c>
      <c r="H25" s="22"/>
      <c r="I25" s="21"/>
      <c r="J25" s="21"/>
      <c r="K25" s="21"/>
      <c r="L25" s="21"/>
    </row>
    <row r="26" spans="1:12">
      <c r="A26" s="32">
        <v>39080</v>
      </c>
      <c r="B26" s="33">
        <v>76.629997253417969</v>
      </c>
      <c r="C26" s="33">
        <v>66.019996643066406</v>
      </c>
      <c r="D26" s="33">
        <v>20.350000381469727</v>
      </c>
      <c r="E26" s="33">
        <v>117.029176843356</v>
      </c>
      <c r="F26" s="4">
        <v>4.0000000000000001E-3</v>
      </c>
      <c r="H26" s="22"/>
      <c r="I26" s="21"/>
      <c r="J26" s="21"/>
      <c r="K26" s="21"/>
      <c r="L26" s="21"/>
    </row>
    <row r="27" spans="1:12">
      <c r="A27" s="32">
        <v>39113</v>
      </c>
      <c r="B27" s="33">
        <v>74.099998474121094</v>
      </c>
      <c r="C27" s="33">
        <v>66.800003051757813</v>
      </c>
      <c r="D27" s="33">
        <v>15.550000190734863</v>
      </c>
      <c r="E27" s="33">
        <v>118.67449996699452</v>
      </c>
      <c r="F27" s="4">
        <v>4.4000000000000003E-3</v>
      </c>
      <c r="H27" s="22"/>
      <c r="I27" s="21"/>
      <c r="J27" s="21"/>
      <c r="K27" s="21"/>
      <c r="L27" s="21"/>
    </row>
    <row r="28" spans="1:12">
      <c r="A28" s="32">
        <v>39141</v>
      </c>
      <c r="B28" s="33">
        <v>71.680000305175781</v>
      </c>
      <c r="C28" s="33">
        <v>62.930000305175781</v>
      </c>
      <c r="D28" s="33">
        <v>15.069999694824219</v>
      </c>
      <c r="E28" s="33">
        <v>116.08191959865337</v>
      </c>
      <c r="F28" s="4">
        <v>3.8E-3</v>
      </c>
      <c r="H28" s="22"/>
      <c r="I28" s="21"/>
      <c r="J28" s="21"/>
      <c r="K28" s="21"/>
      <c r="L28" s="21"/>
    </row>
    <row r="29" spans="1:12">
      <c r="A29" s="32">
        <v>39171</v>
      </c>
      <c r="B29" s="33">
        <v>75.449996948242188</v>
      </c>
      <c r="C29" s="33">
        <v>60.259998321533203</v>
      </c>
      <c r="D29" s="33">
        <v>13.060000419616699</v>
      </c>
      <c r="E29" s="33">
        <v>117.24041190837677</v>
      </c>
      <c r="F29" s="4">
        <v>4.3E-3</v>
      </c>
      <c r="H29" s="22"/>
      <c r="I29" s="21"/>
      <c r="J29" s="21"/>
      <c r="K29" s="21"/>
      <c r="L29" s="21"/>
    </row>
    <row r="30" spans="1:12">
      <c r="A30" s="32">
        <v>39202</v>
      </c>
      <c r="B30" s="33">
        <v>79.379997253417969</v>
      </c>
      <c r="C30" s="33">
        <v>64.220001220703125</v>
      </c>
      <c r="D30" s="33">
        <v>13.819999694824219</v>
      </c>
      <c r="E30" s="33">
        <v>122.31582942768497</v>
      </c>
      <c r="F30" s="4">
        <v>4.4000000000000003E-3</v>
      </c>
      <c r="H30" s="22"/>
      <c r="I30" s="21"/>
      <c r="J30" s="21"/>
      <c r="K30" s="21"/>
      <c r="L30" s="21"/>
    </row>
    <row r="31" spans="1:12">
      <c r="A31" s="32">
        <v>39233</v>
      </c>
      <c r="B31" s="33">
        <v>83.169998168945313</v>
      </c>
      <c r="C31" s="33">
        <v>63.270000457763672</v>
      </c>
      <c r="D31" s="33">
        <v>14.270000457763672</v>
      </c>
      <c r="E31" s="33">
        <v>126.29711532114328</v>
      </c>
      <c r="F31" s="4">
        <v>4.0999999999999995E-3</v>
      </c>
      <c r="H31" s="22"/>
      <c r="I31" s="21"/>
      <c r="J31" s="21"/>
      <c r="K31" s="21"/>
      <c r="L31" s="21"/>
    </row>
    <row r="32" spans="1:12">
      <c r="A32" s="32">
        <v>39262</v>
      </c>
      <c r="B32" s="33">
        <v>83.879997253417969</v>
      </c>
      <c r="C32" s="33">
        <v>61.619998931884766</v>
      </c>
      <c r="D32" s="33">
        <v>14.300000190734863</v>
      </c>
      <c r="E32" s="33">
        <v>124.04696679648819</v>
      </c>
      <c r="F32" s="4">
        <v>4.0000000000000001E-3</v>
      </c>
      <c r="H32" s="22"/>
      <c r="I32" s="21"/>
      <c r="J32" s="21"/>
      <c r="K32" s="21"/>
      <c r="L32" s="21"/>
    </row>
    <row r="33" spans="1:12">
      <c r="A33" s="32">
        <v>39294</v>
      </c>
      <c r="B33" s="33">
        <v>85.129997253417969</v>
      </c>
      <c r="C33" s="33">
        <v>60.5</v>
      </c>
      <c r="D33" s="33">
        <v>13.539999961853027</v>
      </c>
      <c r="E33" s="33">
        <v>120.07970823156643</v>
      </c>
      <c r="F33" s="4">
        <v>4.0000000000000001E-3</v>
      </c>
      <c r="H33" s="22"/>
      <c r="I33" s="21"/>
      <c r="J33" s="21"/>
      <c r="K33" s="21"/>
      <c r="L33" s="21"/>
    </row>
    <row r="34" spans="1:12">
      <c r="A34" s="32">
        <v>39325</v>
      </c>
      <c r="B34" s="33">
        <v>85.730003356933594</v>
      </c>
      <c r="C34" s="33">
        <v>61.790000915527344</v>
      </c>
      <c r="D34" s="33">
        <v>13</v>
      </c>
      <c r="E34" s="33">
        <v>121.62436464453097</v>
      </c>
      <c r="F34" s="4">
        <v>4.1999999999999997E-3</v>
      </c>
      <c r="H34" s="22"/>
      <c r="I34" s="21"/>
      <c r="J34" s="21"/>
      <c r="K34" s="21"/>
      <c r="L34" s="21"/>
    </row>
    <row r="35" spans="1:12">
      <c r="A35" s="32">
        <v>39353</v>
      </c>
      <c r="B35" s="33">
        <v>92.55999755859375</v>
      </c>
      <c r="C35" s="33">
        <v>65.699996948242188</v>
      </c>
      <c r="D35" s="33">
        <v>13.199999809265137</v>
      </c>
      <c r="E35" s="33">
        <v>125.97778731269389</v>
      </c>
      <c r="F35" s="4">
        <v>3.2000000000000002E-3</v>
      </c>
      <c r="H35" s="22"/>
      <c r="I35" s="21"/>
      <c r="J35" s="21"/>
      <c r="K35" s="21"/>
      <c r="L35" s="21"/>
    </row>
    <row r="36" spans="1:12">
      <c r="A36" s="32">
        <v>39386</v>
      </c>
      <c r="B36" s="33">
        <v>91.989997863769531</v>
      </c>
      <c r="C36" s="33">
        <v>65.169998168945313</v>
      </c>
      <c r="D36" s="33">
        <v>13.079999923706055</v>
      </c>
      <c r="E36" s="33">
        <v>127.84507228199882</v>
      </c>
      <c r="F36" s="4">
        <v>3.2000000000000002E-3</v>
      </c>
      <c r="H36" s="22"/>
      <c r="I36" s="21"/>
      <c r="J36" s="21"/>
      <c r="K36" s="21"/>
      <c r="L36" s="21"/>
    </row>
    <row r="37" spans="1:12">
      <c r="A37" s="32">
        <v>39416</v>
      </c>
      <c r="B37" s="33">
        <v>89.160003662109375</v>
      </c>
      <c r="C37" s="33">
        <v>67.739997863769531</v>
      </c>
      <c r="D37" s="33">
        <v>9.7600002288818359</v>
      </c>
      <c r="E37" s="33">
        <v>122.2143375800383</v>
      </c>
      <c r="F37" s="4">
        <v>3.4000000000000002E-3</v>
      </c>
      <c r="H37" s="22"/>
      <c r="I37" s="21"/>
      <c r="J37" s="21"/>
      <c r="K37" s="21"/>
      <c r="L37" s="21"/>
    </row>
    <row r="38" spans="1:12">
      <c r="A38" s="32">
        <v>39447</v>
      </c>
      <c r="B38" s="33">
        <v>93.69000244140625</v>
      </c>
      <c r="C38" s="33">
        <v>66.699996948242188</v>
      </c>
      <c r="D38" s="33">
        <v>7.5</v>
      </c>
      <c r="E38" s="33">
        <v>121.1598125288798</v>
      </c>
      <c r="F38" s="4">
        <v>2.7000000000000001E-3</v>
      </c>
      <c r="H38" s="22"/>
      <c r="I38" s="21"/>
      <c r="J38" s="21"/>
      <c r="K38" s="21"/>
      <c r="L38" s="21"/>
    </row>
    <row r="39" spans="1:12">
      <c r="A39" s="32">
        <v>39478</v>
      </c>
      <c r="B39" s="33">
        <v>86.400001525878906</v>
      </c>
      <c r="C39" s="33">
        <v>63.139999389648438</v>
      </c>
      <c r="D39" s="33">
        <v>7.5900001525878906</v>
      </c>
      <c r="E39" s="33">
        <v>113.74925737672454</v>
      </c>
      <c r="F39" s="4">
        <v>2.0999999999999999E-3</v>
      </c>
      <c r="H39" s="22"/>
      <c r="I39" s="21"/>
      <c r="J39" s="21"/>
      <c r="K39" s="21"/>
      <c r="L39" s="21"/>
    </row>
    <row r="40" spans="1:12">
      <c r="A40" s="32">
        <v>39507</v>
      </c>
      <c r="B40" s="33">
        <v>87.010002136230469</v>
      </c>
      <c r="C40" s="33">
        <v>61.959999084472656</v>
      </c>
      <c r="D40" s="33">
        <v>7.2100000381469727</v>
      </c>
      <c r="E40" s="33">
        <v>109.79520100336659</v>
      </c>
      <c r="F40" s="4">
        <v>1.2999999999999999E-3</v>
      </c>
      <c r="H40" s="22"/>
      <c r="I40" s="21"/>
      <c r="J40" s="21"/>
      <c r="K40" s="21"/>
      <c r="L40" s="21"/>
    </row>
    <row r="41" spans="1:12">
      <c r="A41" s="32">
        <v>39538</v>
      </c>
      <c r="B41" s="33">
        <v>84.580001831054688</v>
      </c>
      <c r="C41" s="33">
        <v>64.870002746582031</v>
      </c>
      <c r="D41" s="33">
        <v>5.8899998664855957</v>
      </c>
      <c r="E41" s="33">
        <v>109.14086738398576</v>
      </c>
      <c r="F41" s="4">
        <v>1.7000000000000001E-3</v>
      </c>
      <c r="H41" s="22"/>
      <c r="I41" s="21"/>
      <c r="J41" s="21"/>
      <c r="K41" s="21"/>
      <c r="L41" s="21"/>
    </row>
    <row r="42" spans="1:12">
      <c r="A42" s="32">
        <v>39568</v>
      </c>
      <c r="B42" s="33">
        <v>93.069999694824219</v>
      </c>
      <c r="C42" s="33">
        <v>67.089996337890625</v>
      </c>
      <c r="D42" s="33">
        <v>5.9600000381469727</v>
      </c>
      <c r="E42" s="33">
        <v>114.33015380553174</v>
      </c>
      <c r="F42" s="4">
        <v>1.8E-3</v>
      </c>
      <c r="H42" s="22"/>
      <c r="I42" s="21"/>
      <c r="J42" s="21"/>
      <c r="K42" s="21"/>
      <c r="L42" s="21"/>
    </row>
    <row r="43" spans="1:12">
      <c r="A43" s="32">
        <v>39598</v>
      </c>
      <c r="B43" s="33">
        <v>88.760002136230469</v>
      </c>
      <c r="C43" s="33">
        <v>66.739997863769531</v>
      </c>
      <c r="D43" s="33">
        <v>6.880000114440918</v>
      </c>
      <c r="E43" s="33">
        <v>115.55053138821047</v>
      </c>
      <c r="F43" s="4">
        <v>1.8E-3</v>
      </c>
      <c r="H43" s="22"/>
      <c r="I43" s="21"/>
      <c r="J43" s="21"/>
      <c r="K43" s="21"/>
      <c r="L43" s="21"/>
    </row>
    <row r="44" spans="1:12">
      <c r="A44" s="32">
        <v>39629</v>
      </c>
      <c r="B44" s="33">
        <v>88.129997253417969</v>
      </c>
      <c r="C44" s="33">
        <v>64.339996337890625</v>
      </c>
      <c r="D44" s="33">
        <v>5.8299999237060547</v>
      </c>
      <c r="E44" s="33">
        <v>105.61753251039674</v>
      </c>
      <c r="F44" s="4">
        <v>1.7000000000000001E-3</v>
      </c>
      <c r="H44" s="22"/>
      <c r="I44" s="21"/>
      <c r="J44" s="21"/>
      <c r="K44" s="21"/>
      <c r="L44" s="21"/>
    </row>
    <row r="45" spans="1:12">
      <c r="A45" s="32">
        <v>39660</v>
      </c>
      <c r="B45" s="33">
        <v>80.430000305175781</v>
      </c>
      <c r="C45" s="33">
        <v>68.470001220703125</v>
      </c>
      <c r="D45" s="33">
        <v>4.2100000381469727</v>
      </c>
      <c r="E45" s="33">
        <v>104.57620965080206</v>
      </c>
      <c r="F45" s="4">
        <v>1.5E-3</v>
      </c>
      <c r="H45" s="22"/>
      <c r="I45" s="21"/>
      <c r="J45" s="21"/>
      <c r="K45" s="21"/>
      <c r="L45" s="21"/>
    </row>
    <row r="46" spans="1:12">
      <c r="A46" s="32">
        <v>39689</v>
      </c>
      <c r="B46" s="33">
        <v>80.010002136230469</v>
      </c>
      <c r="C46" s="33">
        <v>70.430000305175781</v>
      </c>
      <c r="D46" s="33">
        <v>6.2899999618530273</v>
      </c>
      <c r="E46" s="33">
        <v>105.85104627368143</v>
      </c>
      <c r="F46" s="4">
        <v>1.2999999999999999E-3</v>
      </c>
      <c r="H46" s="22"/>
      <c r="I46" s="21"/>
      <c r="J46" s="21"/>
      <c r="K46" s="21"/>
      <c r="L46" s="21"/>
    </row>
    <row r="47" spans="1:12">
      <c r="A47" s="32">
        <v>39721</v>
      </c>
      <c r="B47" s="33">
        <v>77.660003662109375</v>
      </c>
      <c r="C47" s="33">
        <v>69.279998779296875</v>
      </c>
      <c r="D47" s="33">
        <v>5.25</v>
      </c>
      <c r="E47" s="33">
        <v>96.240675952208065</v>
      </c>
      <c r="F47" s="4">
        <v>1.5E-3</v>
      </c>
      <c r="H47" s="22"/>
      <c r="I47" s="21"/>
      <c r="J47" s="21"/>
      <c r="K47" s="21"/>
      <c r="L47" s="21"/>
    </row>
    <row r="48" spans="1:12">
      <c r="A48" s="32">
        <v>39752</v>
      </c>
      <c r="B48" s="33">
        <v>74.120002746582031</v>
      </c>
      <c r="C48" s="33">
        <v>61.340000152587891</v>
      </c>
      <c r="D48" s="33">
        <v>3.5</v>
      </c>
      <c r="E48" s="33">
        <v>79.935144233942836</v>
      </c>
      <c r="F48" s="4">
        <v>8.0000000000000004E-4</v>
      </c>
      <c r="H48" s="22"/>
      <c r="I48" s="21"/>
      <c r="J48" s="21"/>
      <c r="K48" s="21"/>
      <c r="L48" s="21"/>
    </row>
    <row r="49" spans="1:12">
      <c r="A49" s="32">
        <v>39780</v>
      </c>
      <c r="B49" s="33">
        <v>80.150001525878906</v>
      </c>
      <c r="C49" s="33">
        <v>58.580001831054688</v>
      </c>
      <c r="D49" s="33">
        <v>2.3599998950958252</v>
      </c>
      <c r="E49" s="33">
        <v>73.952076044623411</v>
      </c>
      <c r="F49" s="4">
        <v>2.9999999999999997E-4</v>
      </c>
      <c r="H49" s="22"/>
      <c r="I49" s="21"/>
      <c r="J49" s="21"/>
      <c r="K49" s="21"/>
      <c r="L49" s="21"/>
    </row>
    <row r="50" spans="1:12">
      <c r="A50" s="32">
        <v>39813</v>
      </c>
      <c r="B50" s="33">
        <v>79.830001831054688</v>
      </c>
      <c r="C50" s="33">
        <v>59.830001831054688</v>
      </c>
      <c r="D50" s="33">
        <v>2.1600000858306885</v>
      </c>
      <c r="E50" s="33">
        <v>74.530497062512381</v>
      </c>
      <c r="F50" s="4">
        <v>0</v>
      </c>
      <c r="H50" s="22"/>
      <c r="I50" s="21"/>
      <c r="J50" s="21"/>
      <c r="K50" s="21"/>
      <c r="L50" s="21"/>
    </row>
    <row r="51" spans="1:12">
      <c r="A51" s="32">
        <v>39843</v>
      </c>
      <c r="B51" s="33">
        <v>76.480003356933594</v>
      </c>
      <c r="C51" s="33">
        <v>57.689998626708984</v>
      </c>
      <c r="D51" s="33">
        <v>2.190000057220459</v>
      </c>
      <c r="E51" s="33">
        <v>68.146412304442549</v>
      </c>
      <c r="F51" s="4">
        <v>0</v>
      </c>
      <c r="H51" s="22"/>
      <c r="I51" s="21"/>
      <c r="J51" s="21"/>
      <c r="K51" s="21"/>
      <c r="L51" s="21"/>
    </row>
    <row r="52" spans="1:12">
      <c r="A52" s="32">
        <v>39871</v>
      </c>
      <c r="B52" s="33">
        <v>67.900001525878906</v>
      </c>
      <c r="C52" s="33">
        <v>50</v>
      </c>
      <c r="D52" s="33">
        <v>2.1800000667572021</v>
      </c>
      <c r="E52" s="33">
        <v>60.65499372895902</v>
      </c>
      <c r="F52" s="4">
        <v>1E-4</v>
      </c>
      <c r="H52" s="22"/>
      <c r="I52" s="21"/>
      <c r="J52" s="21"/>
      <c r="K52" s="21"/>
      <c r="L52" s="21"/>
    </row>
    <row r="53" spans="1:12">
      <c r="A53" s="32">
        <v>39903</v>
      </c>
      <c r="B53" s="33">
        <v>68.099998474121094</v>
      </c>
      <c r="C53" s="33">
        <v>52.599998474121094</v>
      </c>
      <c r="D53" s="33">
        <v>3.0499999523162842</v>
      </c>
      <c r="E53" s="33">
        <v>65.835203643804874</v>
      </c>
      <c r="F53" s="4">
        <v>2.0000000000000001E-4</v>
      </c>
      <c r="H53" s="22"/>
      <c r="I53" s="21"/>
      <c r="J53" s="21"/>
      <c r="K53" s="21"/>
      <c r="L53" s="21"/>
    </row>
    <row r="54" spans="1:12">
      <c r="A54" s="32">
        <v>39933</v>
      </c>
      <c r="B54" s="33">
        <v>66.669998168945313</v>
      </c>
      <c r="C54" s="33">
        <v>52.360000610351563</v>
      </c>
      <c r="D54" s="33">
        <v>3.6099998950958252</v>
      </c>
      <c r="E54" s="33">
        <v>72.018780117499503</v>
      </c>
      <c r="F54" s="4">
        <v>1E-4</v>
      </c>
      <c r="H54" s="22"/>
      <c r="I54" s="21"/>
      <c r="J54" s="21"/>
      <c r="K54" s="21"/>
      <c r="L54" s="21"/>
    </row>
    <row r="55" spans="1:12">
      <c r="A55" s="32">
        <v>39962</v>
      </c>
      <c r="B55" s="33">
        <v>69.349998474121094</v>
      </c>
      <c r="C55" s="33">
        <v>55.159999847412109</v>
      </c>
      <c r="D55" s="33">
        <v>4.5399999618530273</v>
      </c>
      <c r="E55" s="33">
        <v>75.841639712192233</v>
      </c>
      <c r="F55" s="4">
        <v>0</v>
      </c>
      <c r="H55" s="22"/>
      <c r="I55" s="21"/>
      <c r="J55" s="21"/>
      <c r="K55" s="21"/>
      <c r="L55" s="21"/>
    </row>
    <row r="56" spans="1:12">
      <c r="A56" s="32">
        <v>39994</v>
      </c>
      <c r="B56" s="33">
        <v>69.910003662109375</v>
      </c>
      <c r="C56" s="33">
        <v>56.799999237060547</v>
      </c>
      <c r="D56" s="33">
        <v>3.869999885559082</v>
      </c>
      <c r="E56" s="33">
        <v>75.856492177701512</v>
      </c>
      <c r="F56" s="4">
        <v>1E-4</v>
      </c>
      <c r="H56" s="22"/>
      <c r="I56" s="21"/>
      <c r="J56" s="21"/>
      <c r="K56" s="21"/>
      <c r="L56" s="21"/>
    </row>
    <row r="57" spans="1:12">
      <c r="A57" s="32">
        <v>40025</v>
      </c>
      <c r="B57" s="33">
        <v>70.389999389648438</v>
      </c>
      <c r="C57" s="33">
        <v>60.889999389648438</v>
      </c>
      <c r="D57" s="33">
        <v>3.6600000858306885</v>
      </c>
      <c r="E57" s="33">
        <v>81.480625783880129</v>
      </c>
      <c r="F57" s="4">
        <v>1E-4</v>
      </c>
      <c r="H57" s="22"/>
      <c r="I57" s="21"/>
      <c r="J57" s="21"/>
      <c r="K57" s="21"/>
      <c r="L57" s="21"/>
    </row>
    <row r="58" spans="1:12">
      <c r="A58" s="32">
        <v>40056</v>
      </c>
      <c r="B58" s="33">
        <v>69.150001525878906</v>
      </c>
      <c r="C58" s="33">
        <v>60.439998626708984</v>
      </c>
      <c r="D58" s="33">
        <v>4.3600001335144043</v>
      </c>
      <c r="E58" s="33">
        <v>84.215129711532114</v>
      </c>
      <c r="F58" s="4">
        <v>1E-4</v>
      </c>
      <c r="H58" s="22"/>
      <c r="I58" s="21"/>
      <c r="J58" s="21"/>
      <c r="K58" s="21"/>
      <c r="L58" s="21"/>
    </row>
    <row r="59" spans="1:12">
      <c r="A59" s="32">
        <v>40086</v>
      </c>
      <c r="B59" s="33">
        <v>68.610000610351563</v>
      </c>
      <c r="C59" s="33">
        <v>60.889999389648438</v>
      </c>
      <c r="D59" s="33">
        <v>5.6599998474121094</v>
      </c>
      <c r="E59" s="33">
        <v>87.223579114132946</v>
      </c>
      <c r="F59" s="4">
        <v>1E-4</v>
      </c>
      <c r="H59" s="22"/>
      <c r="I59" s="21"/>
      <c r="J59" s="21"/>
      <c r="K59" s="21"/>
      <c r="L59" s="21"/>
    </row>
    <row r="60" spans="1:12">
      <c r="A60" s="32">
        <v>40116</v>
      </c>
      <c r="B60" s="33">
        <v>71.669998168945313</v>
      </c>
      <c r="C60" s="33">
        <v>59.049999237060547</v>
      </c>
      <c r="D60" s="33">
        <v>4.5999999046325684</v>
      </c>
      <c r="E60" s="33">
        <v>85.499867978084367</v>
      </c>
      <c r="F60" s="4">
        <v>0</v>
      </c>
      <c r="H60" s="22"/>
      <c r="I60" s="21"/>
      <c r="J60" s="21"/>
      <c r="K60" s="21"/>
      <c r="L60" s="21"/>
    </row>
    <row r="61" spans="1:12">
      <c r="A61" s="32">
        <v>40147</v>
      </c>
      <c r="B61" s="33">
        <v>75.069999694824219</v>
      </c>
      <c r="C61" s="33">
        <v>62.840000152587891</v>
      </c>
      <c r="D61" s="33">
        <v>7.0100002288818359</v>
      </c>
      <c r="E61" s="33">
        <v>90.404482144035924</v>
      </c>
      <c r="F61" s="4">
        <v>0</v>
      </c>
      <c r="H61" s="22"/>
      <c r="I61" s="21"/>
      <c r="J61" s="21"/>
      <c r="K61" s="21"/>
      <c r="L61" s="21"/>
    </row>
    <row r="62" spans="1:12">
      <c r="A62" s="32">
        <v>40178</v>
      </c>
      <c r="B62" s="33">
        <v>68.19000244140625</v>
      </c>
      <c r="C62" s="33">
        <v>64.410003662109375</v>
      </c>
      <c r="D62" s="33">
        <v>9.6800003051757813</v>
      </c>
      <c r="E62" s="33">
        <v>92.011023829955775</v>
      </c>
      <c r="F62" s="4">
        <v>1E-4</v>
      </c>
      <c r="H62" s="22"/>
      <c r="I62" s="21"/>
      <c r="J62" s="21"/>
      <c r="K62" s="21"/>
      <c r="L62" s="21"/>
    </row>
    <row r="63" spans="1:12">
      <c r="A63" s="32">
        <v>40207</v>
      </c>
      <c r="B63" s="33">
        <v>64.430000305175781</v>
      </c>
      <c r="C63" s="33">
        <v>62.860000610351563</v>
      </c>
      <c r="D63" s="33">
        <v>7.4600000381469727</v>
      </c>
      <c r="E63" s="33">
        <v>88.608984091359176</v>
      </c>
      <c r="F63" s="4">
        <v>0</v>
      </c>
      <c r="H63" s="22"/>
      <c r="I63" s="21"/>
      <c r="J63" s="21"/>
      <c r="K63" s="21"/>
      <c r="L63" s="21"/>
    </row>
    <row r="64" spans="1:12">
      <c r="A64" s="32">
        <v>40235</v>
      </c>
      <c r="B64" s="33">
        <v>65</v>
      </c>
      <c r="C64" s="33">
        <v>63</v>
      </c>
      <c r="D64" s="33">
        <v>7.9099998474121094</v>
      </c>
      <c r="E64" s="33">
        <v>91.135553501881333</v>
      </c>
      <c r="F64" s="4">
        <v>0</v>
      </c>
      <c r="H64" s="22"/>
      <c r="I64" s="21"/>
      <c r="J64" s="21"/>
      <c r="K64" s="21"/>
      <c r="L64" s="21"/>
    </row>
    <row r="65" spans="1:12">
      <c r="A65" s="32">
        <v>40268</v>
      </c>
      <c r="B65" s="33">
        <v>66.980003356933594</v>
      </c>
      <c r="C65" s="33">
        <v>65.199996948242188</v>
      </c>
      <c r="D65" s="33">
        <v>9.2700004577636719</v>
      </c>
      <c r="E65" s="33">
        <v>96.493993002838494</v>
      </c>
      <c r="F65" s="4">
        <v>1E-4</v>
      </c>
      <c r="H65" s="22"/>
      <c r="I65" s="21"/>
      <c r="J65" s="21"/>
      <c r="K65" s="21"/>
      <c r="L65" s="21"/>
    </row>
    <row r="66" spans="1:12">
      <c r="A66" s="32">
        <v>40298</v>
      </c>
      <c r="B66" s="33">
        <v>67.769996643066406</v>
      </c>
      <c r="C66" s="33">
        <v>64.300003051757813</v>
      </c>
      <c r="D66" s="33">
        <v>9.0699996948242188</v>
      </c>
      <c r="E66" s="33">
        <v>97.918179417783364</v>
      </c>
      <c r="F66" s="4">
        <v>1E-4</v>
      </c>
      <c r="H66" s="22"/>
      <c r="I66" s="21"/>
      <c r="J66" s="21"/>
      <c r="K66" s="21"/>
      <c r="L66" s="21"/>
    </row>
    <row r="67" spans="1:12">
      <c r="A67" s="32">
        <v>40326</v>
      </c>
      <c r="B67" s="33">
        <v>60.459999084472656</v>
      </c>
      <c r="C67" s="33">
        <v>58.299999237060547</v>
      </c>
      <c r="D67" s="33">
        <v>8.5699996948242188</v>
      </c>
      <c r="E67" s="33">
        <v>89.891246946993206</v>
      </c>
      <c r="F67" s="4">
        <v>1E-4</v>
      </c>
      <c r="H67" s="22"/>
      <c r="I67" s="21"/>
      <c r="J67" s="21"/>
      <c r="K67" s="21"/>
      <c r="L67" s="21"/>
    </row>
    <row r="68" spans="1:12">
      <c r="A68" s="32">
        <v>40359</v>
      </c>
      <c r="B68" s="33">
        <v>57.069999694824219</v>
      </c>
      <c r="C68" s="33">
        <v>59.060001373291016</v>
      </c>
      <c r="D68" s="33">
        <v>7.320000171661377</v>
      </c>
      <c r="E68" s="33">
        <v>85.047692917024222</v>
      </c>
      <c r="F68" s="4">
        <v>1E-4</v>
      </c>
      <c r="H68" s="22"/>
      <c r="I68" s="21"/>
      <c r="J68" s="21"/>
      <c r="K68" s="21"/>
      <c r="L68" s="21"/>
    </row>
    <row r="69" spans="1:12">
      <c r="A69" s="32">
        <v>40389</v>
      </c>
      <c r="B69" s="33">
        <v>59.680000305175781</v>
      </c>
      <c r="C69" s="33">
        <v>58.090000152587891</v>
      </c>
      <c r="D69" s="33">
        <v>7.4899997711181641</v>
      </c>
      <c r="E69" s="33">
        <v>90.897088916760168</v>
      </c>
      <c r="F69" s="4">
        <v>1E-4</v>
      </c>
      <c r="H69" s="22"/>
      <c r="I69" s="21"/>
      <c r="J69" s="21"/>
      <c r="K69" s="21"/>
      <c r="L69" s="21"/>
    </row>
    <row r="70" spans="1:12">
      <c r="A70" s="32">
        <v>40421</v>
      </c>
      <c r="B70" s="33">
        <v>59.110000610351563</v>
      </c>
      <c r="C70" s="33">
        <v>57.020000457763672</v>
      </c>
      <c r="D70" s="33">
        <v>5.6100001335144043</v>
      </c>
      <c r="E70" s="33">
        <v>86.584097960261388</v>
      </c>
      <c r="F70" s="4">
        <v>1E-4</v>
      </c>
      <c r="H70" s="22"/>
      <c r="I70" s="21"/>
      <c r="J70" s="21"/>
      <c r="K70" s="21"/>
      <c r="L70" s="21"/>
    </row>
    <row r="71" spans="1:12">
      <c r="A71" s="32">
        <v>40451</v>
      </c>
      <c r="B71" s="33">
        <v>61.790000915527344</v>
      </c>
      <c r="C71" s="33">
        <v>61.959999084472656</v>
      </c>
      <c r="D71" s="33">
        <v>7.1100001335144043</v>
      </c>
      <c r="E71" s="33">
        <v>94.164631328800581</v>
      </c>
      <c r="F71" s="4">
        <v>1E-4</v>
      </c>
      <c r="H71" s="22"/>
      <c r="I71" s="21"/>
      <c r="J71" s="21"/>
      <c r="K71" s="21"/>
      <c r="L71" s="21"/>
    </row>
    <row r="72" spans="1:12">
      <c r="A72" s="32">
        <v>40480</v>
      </c>
      <c r="B72" s="33">
        <v>66.489997863769531</v>
      </c>
      <c r="C72" s="33">
        <v>63.740001678466797</v>
      </c>
      <c r="D72" s="33">
        <v>7.3350000381469727</v>
      </c>
      <c r="E72" s="33">
        <v>97.635157436134392</v>
      </c>
      <c r="F72" s="4">
        <v>1E-4</v>
      </c>
      <c r="H72" s="22"/>
      <c r="I72" s="21"/>
      <c r="J72" s="21"/>
      <c r="K72" s="21"/>
      <c r="L72" s="21"/>
    </row>
    <row r="73" spans="1:12">
      <c r="A73" s="32">
        <v>40512</v>
      </c>
      <c r="B73" s="33">
        <v>69.55999755859375</v>
      </c>
      <c r="C73" s="33">
        <v>61.549999237060547</v>
      </c>
      <c r="D73" s="33">
        <v>7.2899999618530273</v>
      </c>
      <c r="E73" s="33">
        <v>97.411545316522535</v>
      </c>
      <c r="F73" s="4">
        <v>1E-4</v>
      </c>
      <c r="H73" s="22"/>
      <c r="I73" s="21"/>
      <c r="J73" s="21"/>
      <c r="K73" s="21"/>
      <c r="L73" s="21"/>
    </row>
    <row r="74" spans="1:12">
      <c r="A74" s="32">
        <v>40543</v>
      </c>
      <c r="B74" s="33">
        <v>73.120002746582031</v>
      </c>
      <c r="C74" s="33">
        <v>61.849998474121094</v>
      </c>
      <c r="D74" s="33">
        <v>8.1800003051757813</v>
      </c>
      <c r="E74" s="33">
        <v>103.77252623935574</v>
      </c>
      <c r="F74" s="4">
        <v>1E-4</v>
      </c>
      <c r="H74" s="22"/>
      <c r="I74" s="21"/>
      <c r="J74" s="21"/>
      <c r="K74" s="21"/>
      <c r="L74" s="21"/>
    </row>
    <row r="75" spans="1:12">
      <c r="A75" s="32">
        <v>40574</v>
      </c>
      <c r="B75" s="33">
        <v>80.680000305175781</v>
      </c>
      <c r="C75" s="33">
        <v>59.770000457763672</v>
      </c>
      <c r="D75" s="33">
        <v>7.8299999237060547</v>
      </c>
      <c r="E75" s="33">
        <v>106.12251633771204</v>
      </c>
      <c r="F75" s="4">
        <v>1E-4</v>
      </c>
      <c r="H75" s="22"/>
      <c r="I75" s="21"/>
      <c r="J75" s="21"/>
      <c r="K75" s="21"/>
      <c r="L75" s="21"/>
    </row>
    <row r="76" spans="1:12">
      <c r="A76" s="32">
        <v>40602</v>
      </c>
      <c r="B76" s="33">
        <v>85.529998779296875</v>
      </c>
      <c r="C76" s="33">
        <v>61.439998626708984</v>
      </c>
      <c r="D76" s="33">
        <v>9.2100000381469727</v>
      </c>
      <c r="E76" s="33">
        <v>109.51382929566307</v>
      </c>
      <c r="F76" s="4">
        <v>1E-4</v>
      </c>
      <c r="H76" s="22"/>
      <c r="I76" s="21"/>
      <c r="J76" s="21"/>
      <c r="K76" s="21"/>
      <c r="L76" s="21"/>
    </row>
    <row r="77" spans="1:12">
      <c r="A77" s="32">
        <v>40633</v>
      </c>
      <c r="B77" s="33">
        <v>84.129997253417969</v>
      </c>
      <c r="C77" s="33">
        <v>59.25</v>
      </c>
      <c r="D77" s="33">
        <v>8.6000003814697266</v>
      </c>
      <c r="E77" s="33">
        <v>109.39913525645255</v>
      </c>
      <c r="F77" s="4">
        <v>1E-4</v>
      </c>
      <c r="H77" s="22"/>
      <c r="I77" s="21"/>
      <c r="J77" s="21"/>
      <c r="K77" s="21"/>
      <c r="L77" s="21"/>
    </row>
    <row r="78" spans="1:12">
      <c r="A78" s="32">
        <v>40662</v>
      </c>
      <c r="B78" s="33">
        <v>87.980003356933594</v>
      </c>
      <c r="C78" s="33">
        <v>65.720001220703125</v>
      </c>
      <c r="D78" s="33">
        <v>9.1000003814697266</v>
      </c>
      <c r="E78" s="33">
        <v>112.51650273945472</v>
      </c>
      <c r="F78" s="4">
        <v>0</v>
      </c>
      <c r="H78" s="22"/>
      <c r="I78" s="21"/>
      <c r="J78" s="21"/>
      <c r="K78" s="21"/>
      <c r="L78" s="21"/>
    </row>
    <row r="79" spans="1:12">
      <c r="A79" s="32">
        <v>40694</v>
      </c>
      <c r="B79" s="33">
        <v>83.470001220703125</v>
      </c>
      <c r="C79" s="33">
        <v>67.290000915527344</v>
      </c>
      <c r="D79" s="33">
        <v>8.6800003051757813</v>
      </c>
      <c r="E79" s="33">
        <v>110.99742557264504</v>
      </c>
      <c r="F79" s="4">
        <v>0</v>
      </c>
      <c r="H79" s="22"/>
      <c r="I79" s="21"/>
      <c r="J79" s="21"/>
      <c r="K79" s="21"/>
      <c r="L79" s="21"/>
    </row>
    <row r="80" spans="1:12">
      <c r="A80" s="32">
        <v>40724</v>
      </c>
      <c r="B80" s="33">
        <v>81.379997253417969</v>
      </c>
      <c r="C80" s="33">
        <v>66.519996643066406</v>
      </c>
      <c r="D80" s="33">
        <v>6.9899997711181641</v>
      </c>
      <c r="E80" s="33">
        <v>108.97088916760181</v>
      </c>
      <c r="F80" s="4">
        <v>0</v>
      </c>
      <c r="H80" s="22"/>
      <c r="I80" s="21"/>
      <c r="J80" s="21"/>
      <c r="K80" s="21"/>
      <c r="L80" s="21"/>
    </row>
    <row r="81" spans="1:12">
      <c r="A81" s="32">
        <v>40753</v>
      </c>
      <c r="B81" s="33">
        <v>79.790000915527344</v>
      </c>
      <c r="C81" s="33">
        <v>64.790000915527344</v>
      </c>
      <c r="D81" s="33">
        <v>7.3400001525878906</v>
      </c>
      <c r="E81" s="33">
        <v>106.63080071291832</v>
      </c>
      <c r="F81" s="4">
        <v>0</v>
      </c>
      <c r="H81" s="22"/>
      <c r="I81" s="21"/>
      <c r="J81" s="21"/>
      <c r="K81" s="21"/>
      <c r="L81" s="21"/>
    </row>
    <row r="82" spans="1:12">
      <c r="A82" s="32">
        <v>40786</v>
      </c>
      <c r="B82" s="33">
        <v>74.019996643066406</v>
      </c>
      <c r="C82" s="33">
        <v>65.800003051757813</v>
      </c>
      <c r="D82" s="33">
        <v>6.8299999237060547</v>
      </c>
      <c r="E82" s="33">
        <v>100.57512046999801</v>
      </c>
      <c r="F82" s="4">
        <v>1E-4</v>
      </c>
      <c r="H82" s="22"/>
      <c r="I82" s="21"/>
      <c r="J82" s="21"/>
      <c r="K82" s="21"/>
      <c r="L82" s="21"/>
    </row>
    <row r="83" spans="1:12">
      <c r="A83" s="32">
        <v>40816</v>
      </c>
      <c r="B83" s="33">
        <v>72.629997253417969</v>
      </c>
      <c r="C83" s="33">
        <v>63.689998626708984</v>
      </c>
      <c r="D83" s="33">
        <v>5.0799999237060547</v>
      </c>
      <c r="E83" s="33">
        <v>93.357647369463322</v>
      </c>
      <c r="F83" s="4">
        <v>0</v>
      </c>
      <c r="H83" s="22"/>
      <c r="I83" s="21"/>
      <c r="J83" s="21"/>
      <c r="K83" s="21"/>
      <c r="L83" s="21"/>
    </row>
    <row r="84" spans="1:12">
      <c r="A84" s="32">
        <v>40847</v>
      </c>
      <c r="B84" s="33">
        <v>78.089996337890625</v>
      </c>
      <c r="C84" s="33">
        <v>64.389999389648438</v>
      </c>
      <c r="D84" s="33">
        <v>5.8299999237060547</v>
      </c>
      <c r="E84" s="33">
        <v>103.41441679318764</v>
      </c>
      <c r="F84" s="4">
        <v>0</v>
      </c>
      <c r="H84" s="22"/>
      <c r="I84" s="21"/>
      <c r="J84" s="21"/>
      <c r="K84" s="21"/>
      <c r="L84" s="21"/>
    </row>
    <row r="85" spans="1:12">
      <c r="A85" s="32">
        <v>40877</v>
      </c>
      <c r="B85" s="33">
        <v>80.44000244140625</v>
      </c>
      <c r="C85" s="33">
        <v>64.720001220703125</v>
      </c>
      <c r="D85" s="33">
        <v>5.690000057220459</v>
      </c>
      <c r="E85" s="33">
        <v>102.89127995247209</v>
      </c>
      <c r="F85" s="4">
        <v>0</v>
      </c>
      <c r="H85" s="22"/>
      <c r="I85" s="21"/>
      <c r="J85" s="21"/>
      <c r="K85" s="21"/>
      <c r="L85" s="21"/>
    </row>
    <row r="86" spans="1:12">
      <c r="A86" s="32">
        <v>40907</v>
      </c>
      <c r="B86" s="33">
        <v>84.760002136230469</v>
      </c>
      <c r="C86" s="33">
        <v>65.580001831054688</v>
      </c>
      <c r="D86" s="33">
        <v>5.4000000953674316</v>
      </c>
      <c r="E86" s="33">
        <v>103.76922569146474</v>
      </c>
      <c r="F86" s="4">
        <v>0</v>
      </c>
      <c r="H86" s="22"/>
      <c r="I86" s="21"/>
      <c r="J86" s="21"/>
      <c r="K86" s="21"/>
      <c r="L86" s="21"/>
    </row>
    <row r="87" spans="1:12">
      <c r="A87" s="32">
        <v>40939</v>
      </c>
      <c r="B87" s="33">
        <v>83.739997863769531</v>
      </c>
      <c r="C87" s="33">
        <v>65.910003662109375</v>
      </c>
      <c r="D87" s="33">
        <v>6.7100000381469727</v>
      </c>
      <c r="E87" s="33">
        <v>108.29180143903885</v>
      </c>
      <c r="F87" s="4">
        <v>0</v>
      </c>
      <c r="H87" s="22"/>
      <c r="I87" s="21"/>
      <c r="J87" s="21"/>
      <c r="K87" s="21"/>
      <c r="L87" s="21"/>
    </row>
    <row r="88" spans="1:12">
      <c r="A88" s="32">
        <v>40968</v>
      </c>
      <c r="B88" s="33">
        <v>86.5</v>
      </c>
      <c r="C88" s="33">
        <v>65.080001831054688</v>
      </c>
      <c r="D88" s="33">
        <v>7.3499999046325684</v>
      </c>
      <c r="E88" s="33">
        <v>112.68730609281137</v>
      </c>
      <c r="F88" s="4">
        <v>0</v>
      </c>
      <c r="H88" s="22"/>
      <c r="I88" s="21"/>
      <c r="J88" s="21"/>
      <c r="K88" s="21"/>
      <c r="L88" s="21"/>
    </row>
    <row r="89" spans="1:12">
      <c r="A89" s="32">
        <v>40998</v>
      </c>
      <c r="B89" s="33">
        <v>86.730003356933594</v>
      </c>
      <c r="C89" s="33">
        <v>65.959999084472656</v>
      </c>
      <c r="D89" s="33">
        <v>8.0200004577636719</v>
      </c>
      <c r="E89" s="33">
        <v>116.218067199155</v>
      </c>
      <c r="F89" s="4">
        <v>0</v>
      </c>
      <c r="H89" s="22"/>
      <c r="I89" s="21"/>
      <c r="J89" s="21"/>
      <c r="K89" s="21"/>
      <c r="L89" s="21"/>
    </row>
    <row r="90" spans="1:12">
      <c r="A90" s="32">
        <v>41029</v>
      </c>
      <c r="B90" s="33">
        <v>86.339996337890625</v>
      </c>
      <c r="C90" s="33">
        <v>65.099998474121094</v>
      </c>
      <c r="D90" s="33">
        <v>7.3600001335144043</v>
      </c>
      <c r="E90" s="33">
        <v>115.34672255594424</v>
      </c>
      <c r="F90" s="4">
        <v>0</v>
      </c>
      <c r="H90" s="22"/>
      <c r="I90" s="21"/>
      <c r="J90" s="21"/>
      <c r="K90" s="21"/>
      <c r="L90" s="21"/>
    </row>
    <row r="91" spans="1:12">
      <c r="A91" s="32">
        <v>41060</v>
      </c>
      <c r="B91" s="33">
        <v>78.629997253417969</v>
      </c>
      <c r="C91" s="33">
        <v>62.430000305175781</v>
      </c>
      <c r="D91" s="33">
        <v>6.0799999237060547</v>
      </c>
      <c r="E91" s="33">
        <v>108.12017294870942</v>
      </c>
      <c r="F91" s="4">
        <v>1E-4</v>
      </c>
      <c r="H91" s="22"/>
      <c r="I91" s="21"/>
      <c r="J91" s="21"/>
      <c r="K91" s="21"/>
      <c r="L91" s="21"/>
    </row>
    <row r="92" spans="1:12">
      <c r="A92" s="32">
        <v>41089</v>
      </c>
      <c r="B92" s="33">
        <v>85.569999694824219</v>
      </c>
      <c r="C92" s="33">
        <v>67.55999755859375</v>
      </c>
      <c r="D92" s="33">
        <v>5.7300000190734863</v>
      </c>
      <c r="E92" s="33">
        <v>112.39685787840776</v>
      </c>
      <c r="F92" s="4">
        <v>0</v>
      </c>
      <c r="H92" s="22"/>
      <c r="I92" s="21"/>
      <c r="J92" s="21"/>
      <c r="K92" s="21"/>
      <c r="L92" s="21"/>
    </row>
    <row r="93" spans="1:12">
      <c r="A93" s="32">
        <v>41121</v>
      </c>
      <c r="B93" s="33">
        <v>86.849998474121094</v>
      </c>
      <c r="C93" s="33">
        <v>69.220001220703125</v>
      </c>
      <c r="D93" s="33">
        <v>4.059999942779541</v>
      </c>
      <c r="E93" s="33">
        <v>113.81279292362525</v>
      </c>
      <c r="F93" s="4">
        <v>0</v>
      </c>
      <c r="H93" s="22"/>
      <c r="I93" s="21"/>
      <c r="J93" s="21"/>
      <c r="K93" s="21"/>
      <c r="L93" s="21"/>
    </row>
    <row r="94" spans="1:12">
      <c r="A94" s="32">
        <v>41152</v>
      </c>
      <c r="B94" s="33">
        <v>87.300003051757813</v>
      </c>
      <c r="C94" s="33">
        <v>67.430000305175781</v>
      </c>
      <c r="D94" s="33">
        <v>3.7200000286102295</v>
      </c>
      <c r="E94" s="33">
        <v>116.06211631130759</v>
      </c>
      <c r="F94" s="4">
        <v>1E-4</v>
      </c>
      <c r="H94" s="22"/>
      <c r="I94" s="21"/>
      <c r="J94" s="21"/>
      <c r="K94" s="21"/>
      <c r="L94" s="21"/>
    </row>
    <row r="95" spans="1:12">
      <c r="A95" s="32">
        <v>41180</v>
      </c>
      <c r="B95" s="33">
        <v>91.449996948242188</v>
      </c>
      <c r="C95" s="33">
        <v>68.910003662109375</v>
      </c>
      <c r="D95" s="33">
        <v>3.369999885559082</v>
      </c>
      <c r="E95" s="33">
        <v>118.87500825136966</v>
      </c>
      <c r="F95" s="4">
        <v>1E-4</v>
      </c>
      <c r="H95" s="22"/>
      <c r="I95" s="21"/>
      <c r="J95" s="21"/>
      <c r="K95" s="21"/>
      <c r="L95" s="21"/>
    </row>
    <row r="96" spans="1:12">
      <c r="A96" s="32">
        <v>41213</v>
      </c>
      <c r="B96" s="33">
        <v>91.169998168945313</v>
      </c>
      <c r="C96" s="33">
        <v>70.819999694824219</v>
      </c>
      <c r="D96" s="33">
        <v>2.0499999523162842</v>
      </c>
      <c r="E96" s="33">
        <v>116.52254274209513</v>
      </c>
      <c r="F96" s="4">
        <v>1E-4</v>
      </c>
      <c r="H96" s="22"/>
      <c r="I96" s="21"/>
      <c r="J96" s="21"/>
      <c r="K96" s="21"/>
      <c r="L96" s="21"/>
    </row>
    <row r="97" spans="1:12">
      <c r="A97" s="32">
        <v>41243</v>
      </c>
      <c r="B97" s="33">
        <v>88.139999389648438</v>
      </c>
      <c r="C97" s="33">
        <v>69.730003356933594</v>
      </c>
      <c r="D97" s="33">
        <v>2.2000000476837158</v>
      </c>
      <c r="E97" s="33">
        <v>116.8542478051356</v>
      </c>
      <c r="F97" s="4">
        <v>1E-4</v>
      </c>
      <c r="H97" s="22"/>
      <c r="I97" s="21"/>
      <c r="J97" s="21"/>
      <c r="K97" s="21"/>
      <c r="L97" s="21"/>
    </row>
    <row r="98" spans="1:12">
      <c r="A98" s="32">
        <v>41274</v>
      </c>
      <c r="B98" s="33">
        <v>86.550003051757813</v>
      </c>
      <c r="C98" s="33">
        <v>70.099998474121094</v>
      </c>
      <c r="D98" s="33">
        <v>2.4000000953674316</v>
      </c>
      <c r="E98" s="33">
        <v>117.6802099148458</v>
      </c>
      <c r="F98" s="4">
        <v>1E-4</v>
      </c>
      <c r="H98" s="22"/>
      <c r="I98" s="21"/>
      <c r="J98" s="21"/>
      <c r="K98" s="21"/>
      <c r="L98" s="21"/>
    </row>
    <row r="99" spans="1:12">
      <c r="A99" s="32">
        <v>41305</v>
      </c>
      <c r="B99" s="33">
        <v>89.970001220703125</v>
      </c>
      <c r="C99" s="33">
        <v>73.919998168945313</v>
      </c>
      <c r="D99" s="33">
        <v>2.5999999046325684</v>
      </c>
      <c r="E99" s="33">
        <v>123.61459502277371</v>
      </c>
      <c r="F99" s="4">
        <v>0</v>
      </c>
      <c r="H99" s="22"/>
      <c r="I99" s="21"/>
      <c r="J99" s="21"/>
      <c r="K99" s="21"/>
      <c r="L99" s="21"/>
    </row>
    <row r="100" spans="1:12">
      <c r="A100" s="32">
        <v>41333</v>
      </c>
      <c r="B100" s="33">
        <v>89.550003051757813</v>
      </c>
      <c r="C100" s="33">
        <v>76.110000610351563</v>
      </c>
      <c r="D100" s="33">
        <v>2.4900000095367432</v>
      </c>
      <c r="E100" s="33">
        <v>124.98184698659972</v>
      </c>
      <c r="F100" s="4">
        <v>0</v>
      </c>
      <c r="H100" s="22"/>
      <c r="I100" s="21"/>
      <c r="J100" s="21"/>
      <c r="K100" s="21"/>
      <c r="L100" s="21"/>
    </row>
    <row r="101" spans="1:12">
      <c r="A101" s="32">
        <v>41361</v>
      </c>
      <c r="B101" s="33">
        <v>90.110000610351563</v>
      </c>
      <c r="C101" s="33">
        <v>81.529998779296875</v>
      </c>
      <c r="D101" s="33">
        <v>2.5499999523162842</v>
      </c>
      <c r="E101" s="33">
        <v>129.47966862499169</v>
      </c>
      <c r="F101" s="4">
        <v>0</v>
      </c>
      <c r="H101" s="22"/>
      <c r="I101" s="21"/>
      <c r="J101" s="21"/>
      <c r="K101" s="21"/>
      <c r="L101" s="21"/>
    </row>
    <row r="102" spans="1:12">
      <c r="A102" s="32">
        <v>41394</v>
      </c>
      <c r="B102" s="33">
        <v>88.989997863769531</v>
      </c>
      <c r="C102" s="33">
        <v>85.230003356933594</v>
      </c>
      <c r="D102" s="33">
        <v>2.8199999332427979</v>
      </c>
      <c r="E102" s="33">
        <v>131.82140735362063</v>
      </c>
      <c r="F102" s="4">
        <v>0</v>
      </c>
      <c r="H102" s="22"/>
      <c r="I102" s="21"/>
      <c r="J102" s="21"/>
      <c r="K102" s="21"/>
      <c r="L102" s="21"/>
    </row>
    <row r="103" spans="1:12">
      <c r="A103" s="32">
        <v>41425</v>
      </c>
      <c r="B103" s="33">
        <v>90.470001220703125</v>
      </c>
      <c r="C103" s="33">
        <v>84.180000305175781</v>
      </c>
      <c r="D103" s="33">
        <v>4</v>
      </c>
      <c r="E103" s="33">
        <v>134.55838669219085</v>
      </c>
      <c r="F103" s="4">
        <v>0</v>
      </c>
      <c r="H103" s="22"/>
      <c r="I103" s="21"/>
      <c r="J103" s="21"/>
      <c r="K103" s="21"/>
      <c r="L103" s="21"/>
    </row>
    <row r="104" spans="1:12">
      <c r="A104" s="32">
        <v>41453</v>
      </c>
      <c r="B104" s="33">
        <v>90.349998474121094</v>
      </c>
      <c r="C104" s="33">
        <v>85.860000610351563</v>
      </c>
      <c r="D104" s="33">
        <v>4.0799999237060547</v>
      </c>
      <c r="E104" s="33">
        <v>132.54010165687498</v>
      </c>
      <c r="F104" s="4">
        <v>0</v>
      </c>
      <c r="H104" s="22"/>
      <c r="I104" s="21"/>
      <c r="J104" s="21"/>
      <c r="K104" s="21"/>
      <c r="L104" s="21"/>
    </row>
    <row r="105" spans="1:12">
      <c r="A105" s="32">
        <v>41486</v>
      </c>
      <c r="B105" s="33">
        <v>93.75</v>
      </c>
      <c r="C105" s="33">
        <v>93.5</v>
      </c>
      <c r="D105" s="33">
        <v>3.7699999809265137</v>
      </c>
      <c r="E105" s="33">
        <v>139.09581490527424</v>
      </c>
      <c r="F105" s="4">
        <v>0</v>
      </c>
      <c r="H105" s="22"/>
      <c r="I105" s="21"/>
      <c r="J105" s="21"/>
      <c r="K105" s="21"/>
      <c r="L105" s="21"/>
    </row>
    <row r="106" spans="1:12">
      <c r="A106" s="32">
        <v>41516</v>
      </c>
      <c r="B106" s="33">
        <v>87.160003662109375</v>
      </c>
      <c r="C106" s="33">
        <v>86.410003662109375</v>
      </c>
      <c r="D106" s="33">
        <v>3.2699999809265137</v>
      </c>
      <c r="E106" s="33">
        <v>134.74239223711132</v>
      </c>
      <c r="F106" s="4">
        <v>0</v>
      </c>
      <c r="H106" s="22"/>
      <c r="I106" s="21"/>
      <c r="J106" s="21"/>
      <c r="K106" s="21"/>
      <c r="L106" s="21"/>
    </row>
    <row r="107" spans="1:12">
      <c r="A107" s="32">
        <v>41547</v>
      </c>
      <c r="B107" s="33">
        <v>86.040000915527344</v>
      </c>
      <c r="C107" s="33">
        <v>86.69000244140625</v>
      </c>
      <c r="D107" s="33">
        <v>3.809999942779541</v>
      </c>
      <c r="E107" s="33">
        <v>138.75090765066997</v>
      </c>
      <c r="F107" s="4">
        <v>0</v>
      </c>
      <c r="H107" s="22"/>
      <c r="I107" s="21"/>
      <c r="J107" s="21"/>
      <c r="K107" s="21"/>
      <c r="L107" s="21"/>
    </row>
    <row r="108" spans="1:12">
      <c r="A108" s="32">
        <v>41578</v>
      </c>
      <c r="B108" s="33">
        <v>89.620002746582031</v>
      </c>
      <c r="C108" s="33">
        <v>92.610000610351563</v>
      </c>
      <c r="D108" s="33">
        <v>3.3399999141693115</v>
      </c>
      <c r="E108" s="33">
        <v>144.9386098092283</v>
      </c>
      <c r="F108" s="4">
        <v>0</v>
      </c>
      <c r="H108" s="22"/>
      <c r="I108" s="21"/>
      <c r="J108" s="21"/>
      <c r="K108" s="21"/>
      <c r="L108" s="21"/>
    </row>
    <row r="109" spans="1:12">
      <c r="A109" s="32">
        <v>41607</v>
      </c>
      <c r="B109" s="33">
        <v>93.480003356933594</v>
      </c>
      <c r="C109" s="33">
        <v>94.660003662109375</v>
      </c>
      <c r="D109" s="33">
        <v>3.6400001049041748</v>
      </c>
      <c r="E109" s="33">
        <v>149.00405967390583</v>
      </c>
      <c r="F109" s="4">
        <v>0</v>
      </c>
      <c r="H109" s="22"/>
      <c r="I109" s="21"/>
      <c r="J109" s="21"/>
      <c r="K109" s="21"/>
      <c r="L109" s="21"/>
    </row>
    <row r="110" spans="1:12">
      <c r="A110" s="32">
        <v>41639</v>
      </c>
      <c r="B110" s="33">
        <v>101.19999694824219</v>
      </c>
      <c r="C110" s="33">
        <v>91.589996337890625</v>
      </c>
      <c r="D110" s="33">
        <v>3.869999885559082</v>
      </c>
      <c r="E110" s="33">
        <v>152.51501749290375</v>
      </c>
      <c r="F110" s="4">
        <v>0</v>
      </c>
      <c r="H110" s="22"/>
      <c r="I110" s="21"/>
      <c r="J110" s="21"/>
      <c r="K110" s="21"/>
      <c r="L110" s="21"/>
    </row>
    <row r="111" spans="1:12">
      <c r="A111" s="32">
        <v>41670</v>
      </c>
      <c r="B111" s="33">
        <v>92.160003662109375</v>
      </c>
      <c r="C111" s="33">
        <v>88.470001220703125</v>
      </c>
      <c r="D111" s="33">
        <v>3.4300000667572021</v>
      </c>
      <c r="E111" s="33">
        <v>147.08809162320938</v>
      </c>
      <c r="F111" s="4">
        <v>0</v>
      </c>
      <c r="H111" s="22"/>
      <c r="I111" s="21"/>
      <c r="J111" s="21"/>
      <c r="K111" s="21"/>
      <c r="L111" s="21"/>
    </row>
    <row r="112" spans="1:12">
      <c r="A112" s="32">
        <v>41698</v>
      </c>
      <c r="B112" s="33">
        <v>96.269996643066406</v>
      </c>
      <c r="C112" s="33">
        <v>92.120002746582031</v>
      </c>
      <c r="D112" s="33">
        <v>3.7100000381469727</v>
      </c>
      <c r="E112" s="33">
        <v>153.43009439566961</v>
      </c>
      <c r="F112" s="4">
        <v>0</v>
      </c>
      <c r="H112" s="22"/>
      <c r="I112" s="21"/>
      <c r="J112" s="21"/>
      <c r="K112" s="21"/>
      <c r="L112" s="21"/>
    </row>
    <row r="113" spans="1:12">
      <c r="A113" s="32">
        <v>41729</v>
      </c>
      <c r="B113" s="33">
        <v>97.680000305175781</v>
      </c>
      <c r="C113" s="33">
        <v>98.230003356933594</v>
      </c>
      <c r="D113" s="33">
        <v>4.0100002288818359</v>
      </c>
      <c r="E113" s="33">
        <v>154.4936959535282</v>
      </c>
      <c r="F113" s="4">
        <v>0</v>
      </c>
      <c r="H113" s="22"/>
      <c r="I113" s="21"/>
      <c r="J113" s="21"/>
      <c r="K113" s="21"/>
      <c r="L113" s="21"/>
    </row>
    <row r="114" spans="1:12">
      <c r="A114" s="32">
        <v>41759</v>
      </c>
      <c r="B114" s="33">
        <v>102.41000366210938</v>
      </c>
      <c r="C114" s="33">
        <v>101.29000091552734</v>
      </c>
      <c r="D114" s="33">
        <v>4.0900001525878906</v>
      </c>
      <c r="E114" s="33">
        <v>155.45167997887643</v>
      </c>
      <c r="F114" s="4">
        <v>0</v>
      </c>
      <c r="H114" s="22"/>
      <c r="I114" s="21"/>
      <c r="J114" s="21"/>
      <c r="K114" s="21"/>
      <c r="L114" s="21"/>
    </row>
    <row r="115" spans="1:12">
      <c r="A115" s="32">
        <v>41789</v>
      </c>
      <c r="B115" s="33">
        <v>100.52999877929688</v>
      </c>
      <c r="C115" s="33">
        <v>101.45999908447266</v>
      </c>
      <c r="D115" s="33">
        <v>4</v>
      </c>
      <c r="E115" s="33">
        <v>158.72087266486227</v>
      </c>
      <c r="F115" s="4">
        <v>0</v>
      </c>
      <c r="H115" s="22"/>
      <c r="I115" s="21"/>
      <c r="J115" s="21"/>
      <c r="K115" s="21"/>
      <c r="L115" s="21"/>
    </row>
    <row r="116" spans="1:12">
      <c r="A116" s="32">
        <v>41820</v>
      </c>
      <c r="B116" s="33">
        <v>100.68000030517578</v>
      </c>
      <c r="C116" s="33">
        <v>104.62000274658203</v>
      </c>
      <c r="D116" s="33">
        <v>4.190000057220459</v>
      </c>
      <c r="E116" s="33">
        <v>161.74582480691785</v>
      </c>
      <c r="F116" s="4">
        <v>0</v>
      </c>
      <c r="H116" s="22"/>
      <c r="I116" s="21"/>
      <c r="J116" s="21"/>
      <c r="K116" s="21"/>
      <c r="L116" s="21"/>
    </row>
    <row r="117" spans="1:12">
      <c r="A117" s="32">
        <v>41851</v>
      </c>
      <c r="B117" s="33">
        <v>98.94000244140625</v>
      </c>
      <c r="C117" s="33">
        <v>100.08999633789063</v>
      </c>
      <c r="D117" s="33">
        <v>3.9100000858306885</v>
      </c>
      <c r="E117" s="33">
        <v>159.30671991550588</v>
      </c>
      <c r="F117" s="4">
        <v>0</v>
      </c>
      <c r="H117" s="22"/>
      <c r="I117" s="21"/>
      <c r="J117" s="21"/>
      <c r="K117" s="21"/>
      <c r="L117" s="21"/>
    </row>
    <row r="118" spans="1:12">
      <c r="A118" s="32">
        <v>41880</v>
      </c>
      <c r="B118" s="33">
        <v>99.459999084472656</v>
      </c>
      <c r="C118" s="33">
        <v>103.73000335693359</v>
      </c>
      <c r="D118" s="33">
        <v>4.1700000762939453</v>
      </c>
      <c r="E118" s="33">
        <v>165.30546570730729</v>
      </c>
      <c r="F118" s="4">
        <v>0</v>
      </c>
      <c r="H118" s="22"/>
      <c r="I118" s="21"/>
      <c r="J118" s="21"/>
      <c r="K118" s="21"/>
      <c r="L118" s="21"/>
    </row>
    <row r="119" spans="1:12">
      <c r="A119" s="32">
        <v>41912</v>
      </c>
      <c r="B119" s="33">
        <v>94.050003051757813</v>
      </c>
      <c r="C119" s="33">
        <v>106.58999633789063</v>
      </c>
      <c r="D119" s="33">
        <v>3.4100000858306885</v>
      </c>
      <c r="E119" s="33">
        <v>162.74093999603923</v>
      </c>
      <c r="F119" s="4">
        <v>0</v>
      </c>
      <c r="H119" s="22"/>
      <c r="I119" s="21"/>
      <c r="J119" s="21"/>
      <c r="K119" s="21"/>
      <c r="L119" s="21"/>
    </row>
    <row r="120" spans="1:12">
      <c r="A120" s="32">
        <v>41943</v>
      </c>
      <c r="B120" s="33">
        <v>96.709999084472656</v>
      </c>
      <c r="C120" s="33">
        <v>107.77999877929688</v>
      </c>
      <c r="D120" s="33">
        <v>2.7999999523162842</v>
      </c>
      <c r="E120" s="33">
        <v>166.5167667832859</v>
      </c>
      <c r="F120" s="4">
        <v>0</v>
      </c>
      <c r="H120" s="22"/>
      <c r="I120" s="21"/>
      <c r="J120" s="21"/>
      <c r="K120" s="21"/>
      <c r="L120" s="21"/>
    </row>
    <row r="121" spans="1:12">
      <c r="A121" s="32">
        <v>41971</v>
      </c>
      <c r="B121" s="33">
        <v>90.540000915527344</v>
      </c>
      <c r="C121" s="33">
        <v>108.25</v>
      </c>
      <c r="D121" s="33">
        <v>2.7899999618530273</v>
      </c>
      <c r="E121" s="33">
        <v>170.60201993530916</v>
      </c>
      <c r="F121" s="4">
        <v>0</v>
      </c>
      <c r="H121" s="22"/>
      <c r="I121" s="21"/>
      <c r="J121" s="21"/>
      <c r="K121" s="21"/>
      <c r="L121" s="21"/>
    </row>
    <row r="122" spans="1:12">
      <c r="A122" s="32">
        <v>42004</v>
      </c>
      <c r="B122" s="33">
        <v>92.449996948242188</v>
      </c>
      <c r="C122" s="33">
        <v>104.56999969482422</v>
      </c>
      <c r="D122" s="33">
        <v>2.6700000762939453</v>
      </c>
      <c r="E122" s="33">
        <v>169.88745131691851</v>
      </c>
      <c r="F122" s="4">
        <v>0</v>
      </c>
      <c r="H122" s="22"/>
      <c r="I122" s="21"/>
      <c r="J122" s="21"/>
      <c r="K122" s="21"/>
      <c r="L122" s="21"/>
    </row>
    <row r="123" spans="1:12">
      <c r="A123" s="32">
        <v>42034</v>
      </c>
      <c r="B123" s="33">
        <v>87.419998168945313</v>
      </c>
      <c r="C123" s="33">
        <v>100.13999938964844</v>
      </c>
      <c r="D123" s="33">
        <v>2.5699999332427979</v>
      </c>
      <c r="E123" s="33">
        <v>164.61400092415332</v>
      </c>
      <c r="F123" s="4">
        <v>0</v>
      </c>
      <c r="H123" s="22"/>
      <c r="I123" s="21"/>
      <c r="J123" s="21"/>
      <c r="K123" s="21"/>
      <c r="L123" s="21"/>
    </row>
    <row r="124" spans="1:12">
      <c r="A124" s="32">
        <v>42062</v>
      </c>
      <c r="B124" s="33">
        <v>88.540000915527344</v>
      </c>
      <c r="C124" s="33">
        <v>102.51000213623047</v>
      </c>
      <c r="D124" s="33">
        <v>3.1099998950958252</v>
      </c>
      <c r="E124" s="33">
        <v>173.65007591260138</v>
      </c>
      <c r="F124" s="4">
        <v>0</v>
      </c>
      <c r="H124" s="22"/>
      <c r="I124" s="21"/>
      <c r="J124" s="21"/>
      <c r="K124" s="21"/>
      <c r="L124" s="21"/>
    </row>
    <row r="125" spans="1:12">
      <c r="A125" s="32">
        <v>42094</v>
      </c>
      <c r="B125" s="33">
        <v>85</v>
      </c>
      <c r="C125" s="33">
        <v>100.59999847412109</v>
      </c>
      <c r="D125" s="33">
        <v>2.6800000667572021</v>
      </c>
      <c r="E125" s="33">
        <v>170.62924945540948</v>
      </c>
      <c r="F125" s="4">
        <v>0</v>
      </c>
      <c r="H125" s="22"/>
      <c r="I125" s="21"/>
      <c r="J125" s="21"/>
      <c r="K125" s="21"/>
      <c r="L125" s="21"/>
    </row>
    <row r="126" spans="1:12">
      <c r="A126" s="32">
        <v>42124</v>
      </c>
      <c r="B126" s="33">
        <v>87.370002746582031</v>
      </c>
      <c r="C126" s="33">
        <v>99.199996948242188</v>
      </c>
      <c r="D126" s="33">
        <v>2.2599999904632568</v>
      </c>
      <c r="E126" s="33">
        <v>172.08314080137291</v>
      </c>
      <c r="F126" s="4">
        <v>0</v>
      </c>
      <c r="H126" s="22"/>
      <c r="I126" s="21"/>
      <c r="J126" s="21"/>
      <c r="K126" s="21"/>
      <c r="L126" s="21"/>
    </row>
    <row r="127" spans="1:12">
      <c r="A127" s="32">
        <v>42153</v>
      </c>
      <c r="B127" s="33">
        <v>85.199996948242188</v>
      </c>
      <c r="C127" s="33">
        <v>100.13999938964844</v>
      </c>
      <c r="D127" s="33">
        <v>2.2799999713897705</v>
      </c>
      <c r="E127" s="33">
        <v>173.88854049772249</v>
      </c>
      <c r="F127" s="4">
        <v>0</v>
      </c>
      <c r="H127" s="22"/>
      <c r="I127" s="21"/>
      <c r="J127" s="21"/>
      <c r="K127" s="21"/>
      <c r="L127" s="21"/>
    </row>
    <row r="128" spans="1:12">
      <c r="A128" s="32">
        <v>42185</v>
      </c>
      <c r="B128" s="33">
        <v>83.199996948242188</v>
      </c>
      <c r="C128" s="33">
        <v>97.459999084472656</v>
      </c>
      <c r="D128" s="33">
        <v>2.4000000953674316</v>
      </c>
      <c r="E128" s="33">
        <v>170.23483398244099</v>
      </c>
      <c r="F128" s="4">
        <v>0</v>
      </c>
      <c r="H128" s="22"/>
      <c r="I128" s="21"/>
      <c r="J128" s="21"/>
      <c r="K128" s="21"/>
      <c r="L128" s="21"/>
    </row>
    <row r="129" spans="1:12">
      <c r="A129" s="32">
        <v>42216</v>
      </c>
      <c r="B129" s="33">
        <v>79.209999084472656</v>
      </c>
      <c r="C129" s="33">
        <v>100.20999908447266</v>
      </c>
      <c r="D129" s="33">
        <v>1.9299999475479126</v>
      </c>
      <c r="E129" s="33">
        <v>173.59561687240071</v>
      </c>
      <c r="F129" s="4">
        <v>0</v>
      </c>
      <c r="H129" s="22"/>
      <c r="I129" s="21"/>
      <c r="J129" s="21"/>
      <c r="K129" s="21"/>
      <c r="L129" s="21"/>
    </row>
    <row r="130" spans="1:12">
      <c r="A130" s="32">
        <v>42247</v>
      </c>
      <c r="B130" s="33">
        <v>75.239997863769531</v>
      </c>
      <c r="C130" s="33">
        <v>93.980003356933594</v>
      </c>
      <c r="D130" s="33">
        <v>1.809999942779541</v>
      </c>
      <c r="E130" s="33">
        <v>162.73186348933913</v>
      </c>
      <c r="F130" s="4">
        <v>0</v>
      </c>
      <c r="H130" s="22"/>
      <c r="I130" s="21"/>
      <c r="J130" s="21"/>
      <c r="K130" s="21"/>
      <c r="L130" s="21"/>
    </row>
    <row r="131" spans="1:12">
      <c r="A131" s="32">
        <v>42277</v>
      </c>
      <c r="B131" s="33">
        <v>74.349998474121094</v>
      </c>
      <c r="C131" s="33">
        <v>93.349998474121094</v>
      </c>
      <c r="D131" s="33">
        <v>1.7200000286102295</v>
      </c>
      <c r="E131" s="33">
        <v>158.4287741765132</v>
      </c>
      <c r="F131" s="4">
        <v>0</v>
      </c>
      <c r="H131" s="22"/>
      <c r="I131" s="21"/>
      <c r="J131" s="21"/>
      <c r="K131" s="21"/>
      <c r="L131" s="21"/>
    </row>
    <row r="132" spans="1:12">
      <c r="A132" s="32">
        <v>42307</v>
      </c>
      <c r="B132" s="33">
        <v>82.739997863769531</v>
      </c>
      <c r="C132" s="33">
        <v>101.02999877929688</v>
      </c>
      <c r="D132" s="33">
        <v>2.119999885559082</v>
      </c>
      <c r="E132" s="33">
        <v>171.5756815631394</v>
      </c>
      <c r="F132" s="4">
        <v>0</v>
      </c>
      <c r="H132" s="22"/>
      <c r="I132" s="21"/>
      <c r="J132" s="21"/>
      <c r="K132" s="21"/>
      <c r="L132" s="21"/>
    </row>
    <row r="133" spans="1:12">
      <c r="A133" s="32">
        <v>42338</v>
      </c>
      <c r="B133" s="33">
        <v>81.660003662109375</v>
      </c>
      <c r="C133" s="33">
        <v>101.23999786376953</v>
      </c>
      <c r="D133" s="33">
        <v>2.3599998950958252</v>
      </c>
      <c r="E133" s="33">
        <v>171.6623209452768</v>
      </c>
      <c r="F133" s="4">
        <v>0</v>
      </c>
      <c r="H133" s="22"/>
      <c r="I133" s="21"/>
      <c r="J133" s="21"/>
      <c r="K133" s="21"/>
      <c r="L133" s="21"/>
    </row>
    <row r="134" spans="1:12">
      <c r="A134" s="32">
        <v>42369</v>
      </c>
      <c r="B134" s="33">
        <v>77.949996948242188</v>
      </c>
      <c r="C134" s="33">
        <v>102.72000122070313</v>
      </c>
      <c r="D134" s="33">
        <v>2.869999885559082</v>
      </c>
      <c r="E134" s="33">
        <v>168.65304640570326</v>
      </c>
      <c r="F134" s="4">
        <v>1E-4</v>
      </c>
      <c r="H134" s="22"/>
      <c r="I134" s="21"/>
      <c r="J134" s="21"/>
      <c r="K134" s="21"/>
      <c r="L134" s="21"/>
    </row>
    <row r="135" spans="1:12">
      <c r="A135" s="32">
        <v>42398</v>
      </c>
      <c r="B135" s="33">
        <v>77.849998474121094</v>
      </c>
      <c r="C135" s="33">
        <v>104.44000244140625</v>
      </c>
      <c r="D135" s="33">
        <v>2.2000000476837158</v>
      </c>
      <c r="E135" s="33">
        <v>160.09637599841565</v>
      </c>
      <c r="F135" s="4">
        <v>1E-4</v>
      </c>
      <c r="H135" s="22"/>
      <c r="I135" s="21"/>
      <c r="J135" s="21"/>
      <c r="K135" s="21"/>
      <c r="L135" s="21"/>
    </row>
    <row r="136" spans="1:12">
      <c r="A136" s="32">
        <v>42429</v>
      </c>
      <c r="B136" s="33">
        <v>80.150001525878906</v>
      </c>
      <c r="C136" s="33">
        <v>105.20999908447266</v>
      </c>
      <c r="D136" s="33">
        <v>2.1400001049041748</v>
      </c>
      <c r="E136" s="33">
        <v>159.43544128325294</v>
      </c>
      <c r="F136" s="4">
        <v>2.0000000000000001E-4</v>
      </c>
      <c r="H136" s="22"/>
      <c r="I136" s="21"/>
      <c r="J136" s="21"/>
      <c r="K136" s="21"/>
      <c r="L136" s="21"/>
    </row>
    <row r="137" spans="1:12">
      <c r="A137" s="32">
        <v>42460</v>
      </c>
      <c r="B137" s="33">
        <v>83.589996337890625</v>
      </c>
      <c r="C137" s="33">
        <v>108.19999694824219</v>
      </c>
      <c r="D137" s="33">
        <v>2.8499999046325684</v>
      </c>
      <c r="E137" s="33">
        <v>169.95676282262843</v>
      </c>
      <c r="F137" s="4">
        <v>2.0000000000000001E-4</v>
      </c>
      <c r="H137" s="22"/>
      <c r="I137" s="21"/>
      <c r="J137" s="21"/>
      <c r="K137" s="21"/>
      <c r="L137" s="21"/>
    </row>
    <row r="138" spans="1:12">
      <c r="A138" s="32">
        <v>42489</v>
      </c>
      <c r="B138" s="33">
        <v>88.400001525878906</v>
      </c>
      <c r="C138" s="33">
        <v>112.08000183105469</v>
      </c>
      <c r="D138" s="33">
        <v>3.5499999523162842</v>
      </c>
      <c r="E138" s="33">
        <v>170.41553897947051</v>
      </c>
      <c r="F138" s="4">
        <v>1E-4</v>
      </c>
      <c r="H138" s="22"/>
      <c r="I138" s="21"/>
      <c r="J138" s="21"/>
      <c r="K138" s="21"/>
      <c r="L138" s="21"/>
    </row>
    <row r="139" spans="1:12">
      <c r="A139" s="32">
        <v>42521</v>
      </c>
      <c r="B139" s="33">
        <v>89.019996643066406</v>
      </c>
      <c r="C139" s="33">
        <v>112.69000244140625</v>
      </c>
      <c r="D139" s="33">
        <v>4.570000171661377</v>
      </c>
      <c r="E139" s="33">
        <v>173.02792263515735</v>
      </c>
      <c r="F139" s="4">
        <v>1E-4</v>
      </c>
      <c r="H139" s="22"/>
      <c r="I139" s="21"/>
      <c r="J139" s="21"/>
      <c r="K139" s="21"/>
      <c r="L139" s="21"/>
    </row>
    <row r="140" spans="1:12">
      <c r="A140" s="32">
        <v>42551</v>
      </c>
      <c r="B140" s="33">
        <v>93.739997863769531</v>
      </c>
      <c r="C140" s="33">
        <v>121.30000305175781</v>
      </c>
      <c r="D140" s="33">
        <v>5.1399998664855957</v>
      </c>
      <c r="E140" s="33">
        <v>173.18469865997747</v>
      </c>
      <c r="F140" s="4">
        <v>2.0000000000000001E-4</v>
      </c>
      <c r="H140" s="22"/>
      <c r="I140" s="21"/>
      <c r="J140" s="21"/>
      <c r="K140" s="21"/>
      <c r="L140" s="21"/>
    </row>
    <row r="141" spans="1:12">
      <c r="A141" s="32">
        <v>42580</v>
      </c>
      <c r="B141" s="33">
        <v>88.949996948242188</v>
      </c>
      <c r="C141" s="33">
        <v>125.23000335693359</v>
      </c>
      <c r="D141" s="33">
        <v>6.8600001335144043</v>
      </c>
      <c r="E141" s="33">
        <v>179.35177239421733</v>
      </c>
      <c r="F141" s="4">
        <v>2.0000000000000001E-4</v>
      </c>
      <c r="H141" s="22"/>
      <c r="I141" s="21"/>
      <c r="J141" s="21"/>
      <c r="K141" s="21"/>
      <c r="L141" s="21"/>
    </row>
    <row r="142" spans="1:12">
      <c r="A142" s="32">
        <v>42613</v>
      </c>
      <c r="B142" s="33">
        <v>87.139999389648438</v>
      </c>
      <c r="C142" s="33">
        <v>119.33999633789063</v>
      </c>
      <c r="D142" s="33">
        <v>7.4000000953674316</v>
      </c>
      <c r="E142" s="33">
        <v>179.13311109644189</v>
      </c>
      <c r="F142" s="4">
        <v>2.0000000000000001E-4</v>
      </c>
      <c r="H142" s="22"/>
      <c r="I142" s="21"/>
      <c r="J142" s="21"/>
      <c r="K142" s="21"/>
      <c r="L142" s="21"/>
    </row>
    <row r="143" spans="1:12">
      <c r="A143" s="32">
        <v>42643</v>
      </c>
      <c r="B143" s="33">
        <v>87.279998779296875</v>
      </c>
      <c r="C143" s="33">
        <v>118.12999725341797</v>
      </c>
      <c r="D143" s="33">
        <v>6.9099998474121094</v>
      </c>
      <c r="E143" s="33">
        <v>178.91197438774827</v>
      </c>
      <c r="F143" s="4">
        <v>2.0000000000000001E-4</v>
      </c>
      <c r="H143" s="22"/>
      <c r="I143" s="21"/>
      <c r="J143" s="21"/>
      <c r="K143" s="21"/>
      <c r="L143" s="21"/>
    </row>
    <row r="144" spans="1:12">
      <c r="A144" s="32">
        <v>42674</v>
      </c>
      <c r="B144" s="33">
        <v>83.319999694824219</v>
      </c>
      <c r="C144" s="33">
        <v>115.98999786376953</v>
      </c>
      <c r="D144" s="33">
        <v>7.2300000190734863</v>
      </c>
      <c r="E144" s="33">
        <v>175.43649745857803</v>
      </c>
      <c r="F144" s="4">
        <v>2.0000000000000001E-4</v>
      </c>
      <c r="H144" s="22"/>
      <c r="I144" s="21"/>
      <c r="J144" s="21"/>
      <c r="K144" s="21"/>
      <c r="L144" s="21"/>
    </row>
    <row r="145" spans="1:12">
      <c r="A145" s="32">
        <v>42704</v>
      </c>
      <c r="B145" s="33">
        <v>87.300003051757813</v>
      </c>
      <c r="C145" s="33">
        <v>111.30000305175781</v>
      </c>
      <c r="D145" s="33">
        <v>8.9099998474121094</v>
      </c>
      <c r="E145" s="33">
        <v>181.4319427024885</v>
      </c>
      <c r="F145" s="4">
        <v>1E-4</v>
      </c>
      <c r="H145" s="22"/>
      <c r="I145" s="21"/>
      <c r="J145" s="21"/>
      <c r="K145" s="21"/>
      <c r="L145" s="21"/>
    </row>
    <row r="146" spans="1:12">
      <c r="A146" s="32">
        <v>42734</v>
      </c>
      <c r="B146" s="33">
        <v>90.260002136230469</v>
      </c>
      <c r="C146" s="33">
        <v>115.20999908447266</v>
      </c>
      <c r="D146" s="33">
        <v>11.340000152587891</v>
      </c>
      <c r="E146" s="33">
        <v>184.73414086738387</v>
      </c>
      <c r="F146" s="4">
        <v>2.9999999999999997E-4</v>
      </c>
      <c r="H146" s="22"/>
      <c r="I146" s="21"/>
      <c r="J146" s="21"/>
      <c r="K146" s="21"/>
      <c r="L146" s="21"/>
    </row>
    <row r="147" spans="1:12">
      <c r="A147" s="32">
        <v>42766</v>
      </c>
      <c r="B147" s="33">
        <v>83.889999389648438</v>
      </c>
      <c r="C147" s="33">
        <v>113.25</v>
      </c>
      <c r="D147" s="33">
        <v>10.369999885559082</v>
      </c>
      <c r="E147" s="33">
        <v>188.03798930622469</v>
      </c>
      <c r="F147" s="4">
        <v>4.0000000000000002E-4</v>
      </c>
      <c r="H147" s="22"/>
      <c r="I147" s="21"/>
      <c r="J147" s="21"/>
      <c r="K147" s="21"/>
      <c r="L147" s="21"/>
    </row>
    <row r="148" spans="1:12">
      <c r="A148" s="32">
        <v>42794</v>
      </c>
      <c r="B148" s="33">
        <v>81.319999694824219</v>
      </c>
      <c r="C148" s="33">
        <v>122.20999908447266</v>
      </c>
      <c r="D148" s="33">
        <v>14.460000038146973</v>
      </c>
      <c r="E148" s="33">
        <v>195.03267542412027</v>
      </c>
      <c r="F148" s="4">
        <v>4.0000000000000002E-4</v>
      </c>
      <c r="H148" s="22"/>
      <c r="I148" s="21"/>
      <c r="J148" s="21"/>
      <c r="K148" s="21"/>
      <c r="L148" s="21"/>
    </row>
    <row r="149" spans="1:12">
      <c r="A149" s="32">
        <v>42825</v>
      </c>
      <c r="B149" s="33">
        <v>82.010002136230469</v>
      </c>
      <c r="C149" s="33">
        <v>124.55000305175781</v>
      </c>
      <c r="D149" s="33">
        <v>14.550000190734863</v>
      </c>
      <c r="E149" s="33">
        <v>194.95676282262841</v>
      </c>
      <c r="F149" s="4">
        <v>2.9999999999999997E-4</v>
      </c>
      <c r="H149" s="22"/>
      <c r="I149" s="21"/>
      <c r="J149" s="21"/>
      <c r="K149" s="21"/>
      <c r="L149" s="21"/>
    </row>
    <row r="150" spans="1:12">
      <c r="A150" s="32">
        <v>42853</v>
      </c>
      <c r="B150" s="33">
        <v>81.650001525878906</v>
      </c>
      <c r="C150" s="33">
        <v>123.47000122070313</v>
      </c>
      <c r="D150" s="33">
        <v>13.300000190734863</v>
      </c>
      <c r="E150" s="33">
        <v>196.72915704006849</v>
      </c>
      <c r="F150" s="4">
        <v>5.0000000000000001E-4</v>
      </c>
      <c r="H150" s="22"/>
      <c r="I150" s="21"/>
      <c r="J150" s="21"/>
      <c r="K150" s="21"/>
      <c r="L150" s="21"/>
    </row>
    <row r="151" spans="1:12">
      <c r="A151" s="32">
        <v>42886</v>
      </c>
      <c r="B151" s="33">
        <v>80.5</v>
      </c>
      <c r="C151" s="33">
        <v>128.25</v>
      </c>
      <c r="D151" s="33">
        <v>11.189999580383301</v>
      </c>
      <c r="E151" s="33">
        <v>199.00653508482395</v>
      </c>
      <c r="F151" s="4">
        <v>5.9999999999999995E-4</v>
      </c>
      <c r="H151" s="22"/>
      <c r="I151" s="21"/>
      <c r="J151" s="21"/>
      <c r="K151" s="21"/>
      <c r="L151" s="21"/>
    </row>
    <row r="152" spans="1:12">
      <c r="A152" s="32">
        <v>42916</v>
      </c>
      <c r="B152" s="33">
        <v>80.730003356933594</v>
      </c>
      <c r="C152" s="33">
        <v>132.28999328613281</v>
      </c>
      <c r="D152" s="33">
        <v>12.479999542236328</v>
      </c>
      <c r="E152" s="33">
        <v>199.96451911017215</v>
      </c>
      <c r="F152" s="4">
        <v>5.9999999999999995E-4</v>
      </c>
      <c r="H152" s="22"/>
      <c r="I152" s="21"/>
      <c r="J152" s="21"/>
      <c r="K152" s="21"/>
      <c r="L152" s="21"/>
    </row>
    <row r="153" spans="1:12">
      <c r="A153" s="32">
        <v>42947</v>
      </c>
      <c r="B153" s="33">
        <v>80.040000915527344</v>
      </c>
      <c r="C153" s="33">
        <v>132.72000122070313</v>
      </c>
      <c r="D153" s="33">
        <v>13.609999656677246</v>
      </c>
      <c r="E153" s="33">
        <v>203.83358637533817</v>
      </c>
      <c r="F153" s="4">
        <v>7.000000000000001E-4</v>
      </c>
      <c r="H153" s="22"/>
      <c r="I153" s="21"/>
      <c r="J153" s="21"/>
      <c r="K153" s="21"/>
      <c r="L153" s="21"/>
    </row>
    <row r="154" spans="1:12">
      <c r="A154" s="32">
        <v>42978</v>
      </c>
      <c r="B154" s="33">
        <v>76.330001831054688</v>
      </c>
      <c r="C154" s="33">
        <v>132.3699951171875</v>
      </c>
      <c r="D154" s="33">
        <v>13</v>
      </c>
      <c r="E154" s="33">
        <v>203.94497986665772</v>
      </c>
      <c r="F154" s="4">
        <v>8.9999999999999998E-4</v>
      </c>
      <c r="H154" s="22"/>
      <c r="I154" s="21"/>
      <c r="J154" s="21"/>
      <c r="K154" s="21"/>
      <c r="L154" s="21"/>
    </row>
    <row r="155" spans="1:12">
      <c r="A155" s="32">
        <v>43007</v>
      </c>
      <c r="B155" s="33">
        <v>81.980003356933594</v>
      </c>
      <c r="C155" s="33">
        <v>130.00999450683594</v>
      </c>
      <c r="D155" s="33">
        <v>12.75</v>
      </c>
      <c r="E155" s="33">
        <v>207.88170836358822</v>
      </c>
      <c r="F155" s="4">
        <v>8.9999999999999998E-4</v>
      </c>
      <c r="H155" s="22"/>
      <c r="I155" s="21"/>
      <c r="J155" s="21"/>
      <c r="K155" s="21"/>
      <c r="L155" s="21"/>
    </row>
    <row r="156" spans="1:12">
      <c r="A156" s="32">
        <v>43039</v>
      </c>
      <c r="B156" s="33">
        <v>83.349998474121094</v>
      </c>
      <c r="C156" s="33">
        <v>139.41000366210938</v>
      </c>
      <c r="D156" s="33">
        <v>10.984999656677246</v>
      </c>
      <c r="E156" s="33">
        <v>212.49422404119073</v>
      </c>
      <c r="F156" s="4">
        <v>8.9999999999999998E-4</v>
      </c>
      <c r="H156" s="22"/>
      <c r="I156" s="21"/>
      <c r="J156" s="21"/>
      <c r="K156" s="21"/>
      <c r="L156" s="21"/>
    </row>
    <row r="157" spans="1:12">
      <c r="A157" s="32">
        <v>43069</v>
      </c>
      <c r="B157" s="33">
        <v>83.290000915527344</v>
      </c>
      <c r="C157" s="33">
        <v>139.33000183105469</v>
      </c>
      <c r="D157" s="33">
        <v>10.890000343322754</v>
      </c>
      <c r="E157" s="33">
        <v>218.46161462802814</v>
      </c>
      <c r="F157" s="4">
        <v>8.0000000000000004E-4</v>
      </c>
      <c r="H157" s="22"/>
      <c r="I157" s="21"/>
      <c r="J157" s="21"/>
      <c r="K157" s="21"/>
      <c r="L157" s="21"/>
    </row>
    <row r="158" spans="1:12">
      <c r="A158" s="32">
        <v>43098</v>
      </c>
      <c r="B158" s="33">
        <v>83.639999389648438</v>
      </c>
      <c r="C158" s="33">
        <v>139.72000122070313</v>
      </c>
      <c r="D158" s="33">
        <v>10.279999732971191</v>
      </c>
      <c r="E158" s="33">
        <v>220.60944616806381</v>
      </c>
      <c r="F158" s="4">
        <v>8.9999999999999998E-4</v>
      </c>
      <c r="H158" s="22"/>
      <c r="I158" s="21"/>
      <c r="J158" s="21"/>
      <c r="K158" s="21"/>
      <c r="L158" s="21"/>
    </row>
    <row r="159" spans="1:12">
      <c r="A159" s="32">
        <v>43131</v>
      </c>
      <c r="B159" s="33">
        <v>87.300003051757813</v>
      </c>
      <c r="C159" s="33">
        <v>138.19000244140625</v>
      </c>
      <c r="D159" s="33">
        <v>13.739999771118164</v>
      </c>
      <c r="E159" s="33">
        <v>233.00300349858065</v>
      </c>
      <c r="F159" s="4">
        <v>1.1000000000000001E-3</v>
      </c>
      <c r="H159" s="22"/>
      <c r="I159" s="21"/>
      <c r="J159" s="21"/>
      <c r="K159" s="21"/>
      <c r="L159" s="21"/>
    </row>
    <row r="160" spans="1:12">
      <c r="A160" s="32">
        <v>43159</v>
      </c>
      <c r="B160" s="33">
        <v>75.739997863769531</v>
      </c>
      <c r="C160" s="33">
        <v>129.8800048828125</v>
      </c>
      <c r="D160" s="33">
        <v>12.109999656677246</v>
      </c>
      <c r="E160" s="33">
        <v>223.92814707241391</v>
      </c>
      <c r="F160" s="4">
        <v>1.1000000000000001E-3</v>
      </c>
      <c r="H160" s="22"/>
      <c r="I160" s="21"/>
      <c r="J160" s="21"/>
      <c r="K160" s="21"/>
      <c r="L160" s="21"/>
    </row>
    <row r="161" spans="1:12">
      <c r="A161" s="32">
        <v>43188</v>
      </c>
      <c r="B161" s="33">
        <v>74.610000610351563</v>
      </c>
      <c r="C161" s="33">
        <v>128.14999389648438</v>
      </c>
      <c r="D161" s="33">
        <v>10.050000190734863</v>
      </c>
      <c r="E161" s="33">
        <v>217.9079477193213</v>
      </c>
      <c r="F161" s="4">
        <v>1.1999999999999999E-3</v>
      </c>
      <c r="H161" s="22"/>
      <c r="I161" s="21"/>
      <c r="J161" s="21"/>
      <c r="K161" s="21"/>
      <c r="L161" s="21"/>
    </row>
    <row r="162" spans="1:12">
      <c r="A162" s="32">
        <v>43220</v>
      </c>
      <c r="B162" s="33">
        <v>77.75</v>
      </c>
      <c r="C162" s="33">
        <v>126.48999786376953</v>
      </c>
      <c r="D162" s="33">
        <v>10.880000114440918</v>
      </c>
      <c r="E162" s="33">
        <v>218.50039606574686</v>
      </c>
      <c r="F162" s="4">
        <v>1.4000000000000002E-3</v>
      </c>
      <c r="H162" s="22"/>
      <c r="I162" s="21"/>
      <c r="J162" s="21"/>
      <c r="K162" s="21"/>
      <c r="L162" s="21"/>
    </row>
    <row r="163" spans="1:12">
      <c r="A163" s="32">
        <v>43251</v>
      </c>
      <c r="B163" s="33">
        <v>81.239997863769531</v>
      </c>
      <c r="C163" s="33">
        <v>119.62000274658203</v>
      </c>
      <c r="D163" s="33">
        <v>13.729999542236328</v>
      </c>
      <c r="E163" s="33">
        <v>223.22182982375068</v>
      </c>
      <c r="F163" s="4">
        <v>1.4000000000000002E-3</v>
      </c>
      <c r="H163" s="22"/>
      <c r="I163" s="21"/>
      <c r="J163" s="21"/>
      <c r="K163" s="21"/>
      <c r="L163" s="21"/>
    </row>
    <row r="164" spans="1:12">
      <c r="A164" s="32">
        <v>43280</v>
      </c>
      <c r="B164" s="33">
        <v>82.730003356933594</v>
      </c>
      <c r="C164" s="33">
        <v>121.33999633789063</v>
      </c>
      <c r="D164" s="33">
        <v>14.989999771118164</v>
      </c>
      <c r="E164" s="33">
        <v>224.30275925803676</v>
      </c>
      <c r="F164" s="4">
        <v>1.4000000000000002E-3</v>
      </c>
      <c r="H164" s="22"/>
      <c r="I164" s="21"/>
      <c r="J164" s="21"/>
      <c r="K164" s="21"/>
      <c r="L164" s="21"/>
    </row>
    <row r="165" spans="1:12">
      <c r="A165" s="32">
        <v>43312</v>
      </c>
      <c r="B165" s="33">
        <v>81.510002136230469</v>
      </c>
      <c r="C165" s="33">
        <v>132.52000427246094</v>
      </c>
      <c r="D165" s="33">
        <v>18.329999923706055</v>
      </c>
      <c r="E165" s="33">
        <v>232.38250049508213</v>
      </c>
      <c r="F165" s="4">
        <v>1.6000000000000001E-3</v>
      </c>
      <c r="H165" s="22"/>
      <c r="I165" s="21"/>
      <c r="J165" s="21"/>
      <c r="K165" s="21"/>
      <c r="L165" s="21"/>
    </row>
    <row r="166" spans="1:12">
      <c r="A166" s="32">
        <v>43343</v>
      </c>
      <c r="B166" s="33">
        <v>80.169998168945313</v>
      </c>
      <c r="C166" s="33">
        <v>134.69000244140625</v>
      </c>
      <c r="D166" s="33">
        <v>25.170000076293945</v>
      </c>
      <c r="E166" s="33">
        <v>239.41514291372363</v>
      </c>
      <c r="F166" s="4">
        <v>1.6000000000000001E-3</v>
      </c>
      <c r="H166" s="22"/>
      <c r="I166" s="21"/>
      <c r="J166" s="21"/>
      <c r="K166" s="21"/>
      <c r="L166" s="21"/>
    </row>
    <row r="167" spans="1:12">
      <c r="A167" s="32">
        <v>43371</v>
      </c>
      <c r="B167" s="33">
        <v>85.019996643066406</v>
      </c>
      <c r="C167" s="33">
        <v>138.16999816894531</v>
      </c>
      <c r="D167" s="33">
        <v>30.889999389648438</v>
      </c>
      <c r="E167" s="33">
        <v>240.44326358175454</v>
      </c>
      <c r="F167" s="4">
        <v>1.5E-3</v>
      </c>
      <c r="H167" s="22"/>
      <c r="I167" s="21"/>
      <c r="J167" s="21"/>
      <c r="K167" s="21"/>
      <c r="L167" s="21"/>
    </row>
    <row r="168" spans="1:12">
      <c r="A168" s="32">
        <v>43404</v>
      </c>
      <c r="B168" s="33">
        <v>79.680000305175781</v>
      </c>
      <c r="C168" s="33">
        <v>139.99000549316406</v>
      </c>
      <c r="D168" s="33">
        <v>18.209999084472656</v>
      </c>
      <c r="E168" s="33">
        <v>223.75569344511183</v>
      </c>
      <c r="F168" s="4">
        <v>1.9E-3</v>
      </c>
      <c r="H168" s="22"/>
      <c r="I168" s="21"/>
      <c r="J168" s="21"/>
      <c r="K168" s="21"/>
      <c r="L168" s="21"/>
    </row>
    <row r="169" spans="1:12">
      <c r="A169" s="32">
        <v>43434</v>
      </c>
      <c r="B169" s="33">
        <v>79.5</v>
      </c>
      <c r="C169" s="33">
        <v>146.89999389648438</v>
      </c>
      <c r="D169" s="33">
        <v>21.299999237060547</v>
      </c>
      <c r="E169" s="33">
        <v>227.75183180407944</v>
      </c>
      <c r="F169" s="4">
        <v>1.8E-3</v>
      </c>
      <c r="H169" s="22"/>
      <c r="I169" s="21"/>
      <c r="J169" s="21"/>
      <c r="K169" s="21"/>
      <c r="L169" s="21"/>
    </row>
    <row r="170" spans="1:12">
      <c r="A170" s="32">
        <v>43465</v>
      </c>
      <c r="B170" s="33">
        <v>68.19000244140625</v>
      </c>
      <c r="C170" s="33">
        <v>129.05000305175781</v>
      </c>
      <c r="D170" s="33">
        <v>18.459999084472656</v>
      </c>
      <c r="E170" s="33">
        <v>206.84946201069371</v>
      </c>
      <c r="F170" s="4">
        <v>1.9E-3</v>
      </c>
      <c r="H170" s="22"/>
      <c r="I170" s="21"/>
      <c r="J170" s="21"/>
      <c r="K170" s="21"/>
      <c r="L170" s="21"/>
    </row>
    <row r="171" spans="1:12">
      <c r="A171" s="32">
        <v>43496</v>
      </c>
      <c r="B171" s="33">
        <v>73.279998779296875</v>
      </c>
      <c r="C171" s="33">
        <v>133.08000183105469</v>
      </c>
      <c r="D171" s="33">
        <v>24.409999847412109</v>
      </c>
      <c r="E171" s="33">
        <v>223.12528879794039</v>
      </c>
      <c r="F171" s="4">
        <v>2.0999999999999999E-3</v>
      </c>
      <c r="H171" s="22"/>
      <c r="I171" s="21"/>
      <c r="J171" s="21"/>
      <c r="K171" s="21"/>
      <c r="L171" s="21"/>
    </row>
    <row r="172" spans="1:12">
      <c r="A172" s="32">
        <v>43524</v>
      </c>
      <c r="B172" s="33">
        <v>79.029998779296875</v>
      </c>
      <c r="C172" s="33">
        <v>136.63999938964844</v>
      </c>
      <c r="D172" s="33">
        <v>23.530000686645508</v>
      </c>
      <c r="E172" s="33">
        <v>229.75856492177695</v>
      </c>
      <c r="F172" s="4">
        <v>1.8E-3</v>
      </c>
      <c r="H172" s="22"/>
      <c r="I172" s="21"/>
      <c r="J172" s="21"/>
      <c r="K172" s="21"/>
      <c r="L172" s="21"/>
    </row>
    <row r="173" spans="1:12">
      <c r="A173" s="32">
        <v>43553</v>
      </c>
      <c r="B173" s="33">
        <v>80.800003051757813</v>
      </c>
      <c r="C173" s="33">
        <v>139.78999328613281</v>
      </c>
      <c r="D173" s="33">
        <v>25.520000457763672</v>
      </c>
      <c r="E173" s="33">
        <v>233.87682355270971</v>
      </c>
      <c r="F173" s="4">
        <v>1.9E-3</v>
      </c>
      <c r="H173" s="22"/>
      <c r="I173" s="21"/>
      <c r="J173" s="21"/>
      <c r="K173" s="21"/>
      <c r="L173" s="21"/>
    </row>
    <row r="174" spans="1:12">
      <c r="A174" s="32">
        <v>43585</v>
      </c>
      <c r="B174" s="33">
        <v>80.279998779296875</v>
      </c>
      <c r="C174" s="33">
        <v>141.19999694824219</v>
      </c>
      <c r="D174" s="33">
        <v>27.629999160766602</v>
      </c>
      <c r="E174" s="33">
        <v>243.07132483992336</v>
      </c>
      <c r="F174" s="4">
        <v>2.0999999999999999E-3</v>
      </c>
      <c r="H174" s="22"/>
      <c r="I174" s="21"/>
      <c r="J174" s="21"/>
      <c r="K174" s="21"/>
      <c r="L174" s="21"/>
    </row>
    <row r="175" spans="1:12">
      <c r="A175" s="32">
        <v>43616</v>
      </c>
      <c r="B175" s="33">
        <v>70.769996643066406</v>
      </c>
      <c r="C175" s="33">
        <v>131.14999389648438</v>
      </c>
      <c r="D175" s="33">
        <v>27.409999847412109</v>
      </c>
      <c r="E175" s="33">
        <v>227.08264571918932</v>
      </c>
      <c r="F175" s="4">
        <v>2.0999999999999999E-3</v>
      </c>
      <c r="H175" s="22"/>
      <c r="I175" s="21"/>
      <c r="J175" s="21"/>
      <c r="K175" s="21"/>
      <c r="L175" s="21"/>
    </row>
    <row r="176" spans="1:12">
      <c r="A176" s="32">
        <v>43644</v>
      </c>
      <c r="B176" s="33">
        <v>76.629997253417969</v>
      </c>
      <c r="C176" s="33">
        <v>139.27999877929688</v>
      </c>
      <c r="D176" s="33">
        <v>30.370000839233398</v>
      </c>
      <c r="E176" s="33">
        <v>242.73549409201922</v>
      </c>
      <c r="F176" s="4">
        <v>1.8E-3</v>
      </c>
      <c r="H176" s="22"/>
      <c r="I176" s="21"/>
      <c r="J176" s="21"/>
      <c r="K176" s="21"/>
      <c r="L176" s="21"/>
    </row>
    <row r="177" spans="1:12">
      <c r="A177" s="32">
        <v>43677</v>
      </c>
      <c r="B177" s="33">
        <v>74.360000610351563</v>
      </c>
      <c r="C177" s="33">
        <v>130.22000122070313</v>
      </c>
      <c r="D177" s="33">
        <v>30.450000762939453</v>
      </c>
      <c r="E177" s="33">
        <v>245.92217308073134</v>
      </c>
      <c r="F177" s="4">
        <v>1.9E-3</v>
      </c>
      <c r="H177" s="22"/>
      <c r="I177" s="21"/>
      <c r="J177" s="21"/>
      <c r="K177" s="21"/>
      <c r="L177" s="21"/>
    </row>
    <row r="178" spans="1:12">
      <c r="A178" s="32">
        <v>43707</v>
      </c>
      <c r="B178" s="33">
        <v>68.480003356933594</v>
      </c>
      <c r="C178" s="33">
        <v>128.36000061035156</v>
      </c>
      <c r="D178" s="33">
        <v>31.450000762939453</v>
      </c>
      <c r="E178" s="33">
        <v>241.47303452373089</v>
      </c>
      <c r="F178" s="4">
        <v>1.6000000000000001E-3</v>
      </c>
      <c r="H178" s="22"/>
      <c r="I178" s="21"/>
      <c r="J178" s="21"/>
      <c r="K178" s="21"/>
      <c r="L178" s="21"/>
    </row>
    <row r="179" spans="1:12">
      <c r="A179" s="32">
        <v>43738</v>
      </c>
      <c r="B179" s="33">
        <v>70.610000610351563</v>
      </c>
      <c r="C179" s="33">
        <v>129.3800048828125</v>
      </c>
      <c r="D179" s="33">
        <v>28.989999771118164</v>
      </c>
      <c r="E179" s="33">
        <v>245.62182322265488</v>
      </c>
      <c r="F179" s="4">
        <v>1.8E-3</v>
      </c>
      <c r="H179" s="22"/>
      <c r="I179" s="21"/>
      <c r="J179" s="21"/>
      <c r="K179" s="21"/>
      <c r="L179" s="21"/>
    </row>
    <row r="180" spans="1:12">
      <c r="A180" s="32">
        <v>43769</v>
      </c>
      <c r="B180" s="33">
        <v>67.569999694824219</v>
      </c>
      <c r="C180" s="33">
        <v>132.03999328613281</v>
      </c>
      <c r="D180" s="33">
        <v>33.930000305175781</v>
      </c>
      <c r="E180" s="33">
        <v>250.64030629084422</v>
      </c>
      <c r="F180" s="4">
        <v>1.5E-3</v>
      </c>
      <c r="H180" s="22"/>
      <c r="I180" s="21"/>
      <c r="J180" s="21"/>
      <c r="K180" s="21"/>
      <c r="L180" s="21"/>
    </row>
    <row r="181" spans="1:12">
      <c r="A181" s="32">
        <v>43798</v>
      </c>
      <c r="B181" s="33">
        <v>68.129997253417969</v>
      </c>
      <c r="C181" s="33">
        <v>137.49000549316406</v>
      </c>
      <c r="D181" s="33">
        <v>39.150001525878906</v>
      </c>
      <c r="E181" s="33">
        <v>259.17387286289522</v>
      </c>
      <c r="F181" s="4">
        <v>1.1999999999999999E-3</v>
      </c>
      <c r="H181" s="22"/>
      <c r="I181" s="21"/>
      <c r="J181" s="21"/>
      <c r="K181" s="21"/>
      <c r="L181" s="21"/>
    </row>
    <row r="182" spans="1:12">
      <c r="A182" s="32">
        <v>43830</v>
      </c>
      <c r="B182" s="33">
        <v>69.779998779296875</v>
      </c>
      <c r="C182" s="33">
        <v>145.8699951171875</v>
      </c>
      <c r="D182" s="33">
        <v>45.860000610351563</v>
      </c>
      <c r="E182" s="33">
        <v>266.58360287807778</v>
      </c>
      <c r="F182" s="4">
        <v>1.4000000000000002E-3</v>
      </c>
      <c r="H182" s="22"/>
      <c r="I182" s="21"/>
      <c r="J182" s="21"/>
      <c r="K182" s="21"/>
      <c r="L182" s="21"/>
    </row>
    <row r="183" spans="1:12">
      <c r="A183" s="32">
        <v>43861</v>
      </c>
      <c r="B183" s="33">
        <v>62.119998931884766</v>
      </c>
      <c r="C183" s="33">
        <v>148.8699951171875</v>
      </c>
      <c r="D183" s="33">
        <v>47</v>
      </c>
      <c r="E183" s="33">
        <v>266.14958083041785</v>
      </c>
      <c r="F183" s="4">
        <v>1.2999999999999999E-3</v>
      </c>
      <c r="H183" s="22"/>
      <c r="I183" s="21"/>
      <c r="J183" s="21"/>
      <c r="K183" s="21"/>
      <c r="L183" s="21"/>
    </row>
    <row r="184" spans="1:12">
      <c r="A184" s="32">
        <v>43889</v>
      </c>
      <c r="B184" s="33">
        <v>51.439998626708984</v>
      </c>
      <c r="C184" s="33">
        <v>134.47999572753906</v>
      </c>
      <c r="D184" s="33">
        <v>45.479999542236328</v>
      </c>
      <c r="E184" s="33">
        <v>243.76361476005013</v>
      </c>
      <c r="F184" s="4">
        <v>1.1999999999999999E-3</v>
      </c>
      <c r="H184" s="22"/>
      <c r="I184" s="21"/>
      <c r="J184" s="21"/>
      <c r="K184" s="21"/>
      <c r="L184" s="21"/>
    </row>
    <row r="185" spans="1:12">
      <c r="A185" s="32">
        <v>43921</v>
      </c>
      <c r="B185" s="33">
        <v>37.970001220703125</v>
      </c>
      <c r="C185" s="33">
        <v>131.1300048828125</v>
      </c>
      <c r="D185" s="33">
        <v>45.479999542236328</v>
      </c>
      <c r="E185" s="33">
        <v>213.2640768367549</v>
      </c>
      <c r="F185" s="4">
        <v>1.1999999999999999E-3</v>
      </c>
      <c r="H185" s="22"/>
      <c r="I185" s="21"/>
      <c r="J185" s="21"/>
      <c r="K185" s="21"/>
      <c r="L185" s="21"/>
    </row>
    <row r="186" spans="1:12">
      <c r="A186" s="32">
        <v>43951</v>
      </c>
      <c r="B186" s="33">
        <v>46.470001220703125</v>
      </c>
      <c r="C186" s="33">
        <v>150.03999328613281</v>
      </c>
      <c r="D186" s="33">
        <v>52.389999389648438</v>
      </c>
      <c r="E186" s="33">
        <v>240.31536735098024</v>
      </c>
      <c r="F186" s="4">
        <v>0</v>
      </c>
      <c r="H186" s="22"/>
      <c r="I186" s="21"/>
      <c r="J186" s="21"/>
      <c r="K186" s="21"/>
      <c r="L186" s="21"/>
    </row>
    <row r="187" spans="1:12">
      <c r="A187" s="32">
        <v>43980</v>
      </c>
      <c r="B187" s="33">
        <v>45.470001220703125</v>
      </c>
      <c r="C187" s="33">
        <v>148.75</v>
      </c>
      <c r="D187" s="33">
        <v>53.799999237060547</v>
      </c>
      <c r="E187" s="33">
        <v>251.19727374744207</v>
      </c>
      <c r="F187" s="4">
        <v>1E-4</v>
      </c>
      <c r="H187" s="22"/>
      <c r="I187" s="21"/>
      <c r="J187" s="21"/>
      <c r="K187" s="21"/>
      <c r="L187" s="21"/>
    </row>
    <row r="188" spans="1:12">
      <c r="A188" s="32">
        <v>44012</v>
      </c>
      <c r="B188" s="33">
        <v>44.720001220703125</v>
      </c>
      <c r="C188" s="33">
        <v>140.6300048828125</v>
      </c>
      <c r="D188" s="33">
        <v>52.610000610351563</v>
      </c>
      <c r="E188" s="33">
        <v>255.81639052082645</v>
      </c>
      <c r="F188" s="4">
        <v>1E-4</v>
      </c>
      <c r="H188" s="22"/>
      <c r="I188" s="21"/>
      <c r="J188" s="21"/>
      <c r="K188" s="21"/>
      <c r="L188" s="21"/>
    </row>
    <row r="189" spans="1:12">
      <c r="A189" s="32">
        <v>44043</v>
      </c>
      <c r="B189" s="33">
        <v>42.080001831054688</v>
      </c>
      <c r="C189" s="33">
        <v>145.75999450683594</v>
      </c>
      <c r="D189" s="33">
        <v>77.430000305175781</v>
      </c>
      <c r="E189" s="33">
        <v>269.91220542610074</v>
      </c>
      <c r="F189" s="4">
        <v>1E-4</v>
      </c>
      <c r="H189" s="22"/>
      <c r="I189" s="21"/>
      <c r="J189" s="21"/>
      <c r="K189" s="21"/>
      <c r="L189" s="21"/>
    </row>
    <row r="190" spans="1:12">
      <c r="A190" s="32">
        <v>44074</v>
      </c>
      <c r="B190" s="33">
        <v>39.939998626708984</v>
      </c>
      <c r="C190" s="33">
        <v>153.41000366210938</v>
      </c>
      <c r="D190" s="33">
        <v>90.819999694824219</v>
      </c>
      <c r="E190" s="33">
        <v>288.82351970427089</v>
      </c>
      <c r="F190" s="4">
        <v>1E-4</v>
      </c>
      <c r="H190" s="22"/>
      <c r="I190" s="21"/>
      <c r="J190" s="21"/>
      <c r="K190" s="21"/>
      <c r="L190" s="21"/>
    </row>
    <row r="191" spans="1:12">
      <c r="A191" s="32">
        <v>44104</v>
      </c>
      <c r="B191" s="33">
        <v>34.330001831054688</v>
      </c>
      <c r="C191" s="33">
        <v>148.8800048828125</v>
      </c>
      <c r="D191" s="33">
        <v>81.989997863769531</v>
      </c>
      <c r="E191" s="33">
        <v>277.49356393161264</v>
      </c>
      <c r="F191" s="4">
        <v>1E-4</v>
      </c>
      <c r="H191" s="22"/>
      <c r="I191" s="21"/>
      <c r="J191" s="21"/>
      <c r="K191" s="21"/>
      <c r="L191" s="21"/>
    </row>
    <row r="192" spans="1:12">
      <c r="A192" s="32">
        <v>44134</v>
      </c>
      <c r="B192" s="33">
        <v>32.619998931884766</v>
      </c>
      <c r="C192" s="33">
        <v>137.11000061035156</v>
      </c>
      <c r="D192" s="33">
        <v>75.290000915527344</v>
      </c>
      <c r="E192" s="33">
        <v>269.81648953726318</v>
      </c>
      <c r="F192" s="4">
        <v>1E-4</v>
      </c>
      <c r="H192" s="22"/>
      <c r="I192" s="21"/>
      <c r="J192" s="21"/>
      <c r="K192" s="21"/>
      <c r="L192" s="21"/>
    </row>
    <row r="193" spans="1:12">
      <c r="A193" s="32">
        <v>44165</v>
      </c>
      <c r="B193" s="33">
        <v>38.130001068115234</v>
      </c>
      <c r="C193" s="33">
        <v>144.67999267578125</v>
      </c>
      <c r="D193" s="33">
        <v>92.660003662109375</v>
      </c>
      <c r="E193" s="33">
        <v>298.83408145752196</v>
      </c>
      <c r="F193" s="4">
        <v>1E-4</v>
      </c>
      <c r="H193" s="22"/>
      <c r="I193" s="21"/>
      <c r="J193" s="21"/>
      <c r="K193" s="21"/>
      <c r="L193" s="21"/>
    </row>
    <row r="194" spans="1:12">
      <c r="A194" s="32">
        <v>44196</v>
      </c>
      <c r="B194" s="33">
        <v>41.220001220703125</v>
      </c>
      <c r="C194" s="33">
        <v>157.3800048828125</v>
      </c>
      <c r="D194" s="33">
        <v>91.709999084472656</v>
      </c>
      <c r="E194" s="33">
        <v>309.92722291900458</v>
      </c>
      <c r="F194" s="4">
        <v>1E-4</v>
      </c>
      <c r="H194" s="22"/>
      <c r="I194" s="21"/>
      <c r="J194" s="21"/>
      <c r="K194" s="21"/>
      <c r="L194" s="21"/>
    </row>
    <row r="195" spans="1:12">
      <c r="A195" s="32">
        <v>44225</v>
      </c>
      <c r="B195" s="33">
        <v>44.840000152587891</v>
      </c>
      <c r="C195" s="33">
        <v>163.1300048828125</v>
      </c>
      <c r="D195" s="33">
        <v>85.639999389648438</v>
      </c>
      <c r="E195" s="33">
        <v>306.47567496204368</v>
      </c>
      <c r="F195" s="4">
        <v>0</v>
      </c>
      <c r="H195" s="22"/>
      <c r="I195" s="21"/>
      <c r="J195" s="21"/>
      <c r="K195" s="21"/>
      <c r="L195" s="21"/>
    </row>
    <row r="196" spans="1:12">
      <c r="A196" s="32">
        <v>44253</v>
      </c>
      <c r="B196" s="33">
        <v>54.369998931884766</v>
      </c>
      <c r="C196" s="33">
        <v>158.46000671386719</v>
      </c>
      <c r="D196" s="33">
        <v>84.510002136230469</v>
      </c>
      <c r="E196" s="33">
        <v>314.47207736484262</v>
      </c>
      <c r="F196" s="4">
        <v>0</v>
      </c>
      <c r="H196" s="22"/>
      <c r="I196" s="21"/>
      <c r="J196" s="21"/>
      <c r="K196" s="21"/>
      <c r="L196" s="21"/>
    </row>
    <row r="197" spans="1:12">
      <c r="A197" s="32">
        <v>44286</v>
      </c>
      <c r="B197" s="33">
        <v>55.830001831054688</v>
      </c>
      <c r="C197" s="33">
        <v>164.35000610351563</v>
      </c>
      <c r="D197" s="33">
        <v>78.5</v>
      </c>
      <c r="E197" s="33">
        <v>327.81784276189853</v>
      </c>
      <c r="F197" s="4">
        <v>0</v>
      </c>
      <c r="H197" s="22"/>
      <c r="I197" s="21"/>
      <c r="J197" s="21"/>
      <c r="K197" s="21"/>
      <c r="L197" s="21"/>
    </row>
    <row r="198" spans="1:12">
      <c r="A198" s="32">
        <v>44316</v>
      </c>
      <c r="B198" s="33">
        <v>57.240001678466797</v>
      </c>
      <c r="C198" s="33">
        <v>162.72999572753906</v>
      </c>
      <c r="D198" s="33">
        <v>81.620002746582031</v>
      </c>
      <c r="E198" s="33">
        <v>345.00379563007471</v>
      </c>
      <c r="F198" s="4">
        <v>0</v>
      </c>
      <c r="H198" s="22"/>
      <c r="I198" s="21"/>
      <c r="J198" s="21"/>
      <c r="K198" s="21"/>
      <c r="L198" s="21"/>
    </row>
    <row r="199" spans="1:12">
      <c r="A199" s="32">
        <v>44344</v>
      </c>
      <c r="B199" s="33">
        <v>58.369998931884766</v>
      </c>
      <c r="C199" s="33">
        <v>169.25</v>
      </c>
      <c r="D199" s="33">
        <v>80.080001831054688</v>
      </c>
      <c r="E199" s="33">
        <v>346.89665984553443</v>
      </c>
      <c r="F199" s="4">
        <v>0</v>
      </c>
      <c r="H199" s="22"/>
      <c r="I199" s="21"/>
      <c r="J199" s="21"/>
      <c r="K199" s="21"/>
      <c r="L199" s="21"/>
    </row>
    <row r="200" spans="1:12">
      <c r="A200" s="32">
        <v>44377</v>
      </c>
      <c r="B200" s="33">
        <v>63.080001831054688</v>
      </c>
      <c r="C200" s="33">
        <v>164.74000549316406</v>
      </c>
      <c r="D200" s="33">
        <v>93.930000305175781</v>
      </c>
      <c r="E200" s="33">
        <v>354.60261403392968</v>
      </c>
      <c r="F200" s="4">
        <v>0</v>
      </c>
      <c r="H200" s="22"/>
      <c r="I200" s="21"/>
      <c r="J200" s="21"/>
      <c r="K200" s="21"/>
      <c r="L200" s="21"/>
    </row>
    <row r="201" spans="1:12">
      <c r="A201" s="32">
        <v>44407</v>
      </c>
      <c r="B201" s="33">
        <v>57.569999694824219</v>
      </c>
      <c r="C201" s="33">
        <v>172.19999694824219</v>
      </c>
      <c r="D201" s="33">
        <v>106.19000244140625</v>
      </c>
      <c r="E201" s="33">
        <v>362.66915307941127</v>
      </c>
      <c r="F201" s="4">
        <v>0</v>
      </c>
      <c r="H201" s="22"/>
      <c r="I201" s="21"/>
      <c r="J201" s="21"/>
      <c r="K201" s="21"/>
      <c r="L201" s="21"/>
    </row>
    <row r="202" spans="1:12">
      <c r="A202" s="32">
        <v>44439</v>
      </c>
      <c r="B202" s="33">
        <v>54.520000457763672</v>
      </c>
      <c r="C202" s="33">
        <v>173.1300048828125</v>
      </c>
      <c r="D202" s="33">
        <v>110.72000122070313</v>
      </c>
      <c r="E202" s="33">
        <v>373.18304838603223</v>
      </c>
      <c r="F202" s="4">
        <v>0</v>
      </c>
      <c r="H202" s="22"/>
      <c r="I202" s="21"/>
      <c r="J202" s="21"/>
      <c r="K202" s="21"/>
      <c r="L202" s="21"/>
    </row>
    <row r="203" spans="1:12">
      <c r="A203" s="32">
        <v>44469</v>
      </c>
      <c r="B203" s="33">
        <v>58.819999694824219</v>
      </c>
      <c r="C203" s="33">
        <v>161.5</v>
      </c>
      <c r="D203" s="33">
        <v>102.90000152587891</v>
      </c>
      <c r="E203" s="33">
        <v>355.43105155455817</v>
      </c>
      <c r="F203" s="4">
        <v>0</v>
      </c>
      <c r="H203" s="22"/>
      <c r="I203" s="21"/>
      <c r="J203" s="21"/>
      <c r="K203" s="21"/>
      <c r="L203" s="21"/>
    </row>
    <row r="204" spans="1:12">
      <c r="A204" s="32">
        <v>44498</v>
      </c>
      <c r="B204" s="33">
        <v>64.470001220703125</v>
      </c>
      <c r="C204" s="33">
        <v>162.8800048828125</v>
      </c>
      <c r="D204" s="33">
        <v>120.23000335693359</v>
      </c>
      <c r="E204" s="33">
        <v>380.00693115057112</v>
      </c>
      <c r="F204" s="4">
        <v>0</v>
      </c>
      <c r="H204" s="22"/>
      <c r="I204" s="21"/>
      <c r="J204" s="21"/>
      <c r="K204" s="21"/>
      <c r="L204" s="21"/>
    </row>
    <row r="205" spans="1:12">
      <c r="A205" s="32">
        <v>44530</v>
      </c>
      <c r="B205" s="33">
        <v>59.840000152587891</v>
      </c>
      <c r="C205" s="33">
        <v>155.92999267578125</v>
      </c>
      <c r="D205" s="33">
        <v>158.3699951171875</v>
      </c>
      <c r="E205" s="33">
        <v>376.84005544920467</v>
      </c>
      <c r="F205" s="4">
        <v>0</v>
      </c>
      <c r="H205" s="22"/>
      <c r="I205" s="21"/>
      <c r="J205" s="21"/>
      <c r="K205" s="21"/>
      <c r="L205" s="21"/>
    </row>
    <row r="206" spans="1:12">
      <c r="A206" s="32">
        <v>44561</v>
      </c>
      <c r="B206" s="33">
        <v>61.189998626708984</v>
      </c>
      <c r="C206" s="33">
        <v>171.07000732421875</v>
      </c>
      <c r="D206" s="33">
        <v>143.89999389648438</v>
      </c>
      <c r="E206" s="33">
        <v>393.27513367218972</v>
      </c>
      <c r="F206" s="4">
        <v>1E-4</v>
      </c>
    </row>
    <row r="207" spans="1:12">
      <c r="A207" s="32">
        <v>44592</v>
      </c>
      <c r="B207" s="33">
        <v>75.959999084472656</v>
      </c>
      <c r="C207" s="33">
        <v>172.28999328613281</v>
      </c>
      <c r="D207" s="33">
        <v>114.25</v>
      </c>
      <c r="E207" s="33">
        <v>372.59472572447038</v>
      </c>
      <c r="F207" s="4">
        <v>0</v>
      </c>
    </row>
    <row r="208" spans="1:12">
      <c r="A208" s="32">
        <v>44620</v>
      </c>
      <c r="B208" s="33">
        <v>78.419998168945313</v>
      </c>
      <c r="C208" s="33">
        <v>164.57000732421875</v>
      </c>
      <c r="D208" s="33">
        <v>123.33999633789063</v>
      </c>
      <c r="E208" s="33">
        <v>360.90996105353497</v>
      </c>
      <c r="F208" s="4">
        <v>0</v>
      </c>
    </row>
    <row r="209" spans="1:12">
      <c r="A209" s="32">
        <v>44651</v>
      </c>
      <c r="B209" s="33">
        <v>82.589996337890625</v>
      </c>
      <c r="C209" s="33">
        <v>177.22999572753906</v>
      </c>
      <c r="D209" s="33">
        <v>109.33999633789063</v>
      </c>
      <c r="E209" s="33">
        <v>373.8208792659583</v>
      </c>
      <c r="F209" s="4">
        <v>0</v>
      </c>
    </row>
    <row r="210" spans="1:12">
      <c r="A210" s="32">
        <v>44680</v>
      </c>
      <c r="B210" s="33">
        <v>85.25</v>
      </c>
      <c r="C210" s="33">
        <v>180.46000671386719</v>
      </c>
      <c r="D210" s="33">
        <v>85.519996643066406</v>
      </c>
      <c r="E210" s="33">
        <v>340.94082117631547</v>
      </c>
      <c r="F210" s="4">
        <v>0</v>
      </c>
    </row>
    <row r="211" spans="1:12">
      <c r="A211" s="32">
        <v>44712</v>
      </c>
      <c r="B211" s="33">
        <v>96</v>
      </c>
      <c r="C211" s="33">
        <v>179.52999877929688</v>
      </c>
      <c r="D211" s="33">
        <v>101.86000061035156</v>
      </c>
      <c r="E211" s="33">
        <v>340.95897418971566</v>
      </c>
      <c r="F211" s="4">
        <v>2.9999999999999997E-4</v>
      </c>
    </row>
    <row r="212" spans="1:12">
      <c r="A212" s="32">
        <v>44742</v>
      </c>
      <c r="B212" s="33">
        <v>85.639999389648438</v>
      </c>
      <c r="C212" s="33">
        <v>177.50999450683594</v>
      </c>
      <c r="D212" s="33">
        <v>76.470001220703125</v>
      </c>
      <c r="E212" s="33">
        <v>312.34569938609826</v>
      </c>
      <c r="F212" s="4">
        <v>5.9999999999999995E-4</v>
      </c>
    </row>
    <row r="213" spans="1:12">
      <c r="A213" s="32">
        <v>44771</v>
      </c>
      <c r="B213" s="33">
        <v>96.930000305175781</v>
      </c>
      <c r="C213" s="33">
        <v>174.52000427246094</v>
      </c>
      <c r="D213" s="33">
        <v>94.470001220703125</v>
      </c>
      <c r="E213" s="33">
        <v>340.80549871278646</v>
      </c>
      <c r="F213" s="4">
        <v>8.0000000000000004E-4</v>
      </c>
    </row>
    <row r="214" spans="1:12">
      <c r="A214" s="32">
        <v>44804</v>
      </c>
      <c r="B214" s="33">
        <v>95.589996337890625</v>
      </c>
      <c r="C214" s="33">
        <v>161.33999633789063</v>
      </c>
      <c r="D214" s="33">
        <v>84.870002746582031</v>
      </c>
      <c r="E214" s="33">
        <v>326.34167271767126</v>
      </c>
      <c r="F214" s="4">
        <v>1.9E-3</v>
      </c>
    </row>
    <row r="215" spans="1:12">
      <c r="A215" s="32">
        <v>44834</v>
      </c>
      <c r="B215" s="33">
        <v>87.30999755859375</v>
      </c>
      <c r="C215" s="33">
        <v>163.36000061035156</v>
      </c>
      <c r="D215" s="33">
        <v>63.360000610351563</v>
      </c>
      <c r="E215" s="33">
        <v>295.8627632186944</v>
      </c>
      <c r="F215" s="4">
        <v>1.9E-3</v>
      </c>
    </row>
    <row r="216" spans="1:12">
      <c r="A216" s="32">
        <v>44865</v>
      </c>
      <c r="B216" s="33">
        <v>110.80999755859375</v>
      </c>
      <c r="C216" s="33">
        <v>173.97000122070313</v>
      </c>
      <c r="D216" s="33">
        <v>60.060001373291016</v>
      </c>
      <c r="E216" s="33">
        <v>319.4913855700047</v>
      </c>
      <c r="F216" s="4">
        <v>2.3E-3</v>
      </c>
    </row>
    <row r="217" spans="1:12">
      <c r="A217" s="32">
        <v>44895</v>
      </c>
      <c r="B217" s="33">
        <v>111.33999633789063</v>
      </c>
      <c r="C217" s="33">
        <v>178</v>
      </c>
      <c r="D217" s="33">
        <v>77.629997253417969</v>
      </c>
      <c r="E217" s="33">
        <v>336.66496138358974</v>
      </c>
      <c r="F217" s="4">
        <v>2.8999999999999998E-3</v>
      </c>
    </row>
    <row r="218" spans="1:12">
      <c r="A218" s="32">
        <v>44925</v>
      </c>
      <c r="B218" s="33">
        <v>110.30000305175781</v>
      </c>
      <c r="C218" s="33">
        <v>176.64999389648438</v>
      </c>
      <c r="D218" s="33">
        <v>64.769996643066406</v>
      </c>
      <c r="E218" s="33">
        <v>316.81134068255335</v>
      </c>
      <c r="F218" s="4">
        <v>3.3E-3</v>
      </c>
    </row>
    <row r="219" spans="1:12">
      <c r="A219" s="32">
        <v>44957</v>
      </c>
      <c r="B219" s="33">
        <v>116.01000213623047</v>
      </c>
      <c r="C219" s="33">
        <v>163.41999816894531</v>
      </c>
      <c r="D219" s="33">
        <v>75.150001525878906</v>
      </c>
      <c r="E219" s="33">
        <v>336.37533830615882</v>
      </c>
      <c r="F219" s="4">
        <v>3.4999999999999996E-3</v>
      </c>
    </row>
    <row r="220" spans="1:12">
      <c r="A220" s="32">
        <v>44985</v>
      </c>
      <c r="B220" s="33">
        <v>109.91000366210938</v>
      </c>
      <c r="C220" s="33">
        <v>153.25999450683594</v>
      </c>
      <c r="D220" s="33">
        <v>78.580001831054688</v>
      </c>
      <c r="E220" s="33">
        <v>327.59175523136844</v>
      </c>
      <c r="F220" s="4">
        <v>3.4000000000000002E-3</v>
      </c>
    </row>
    <row r="221" spans="1:12">
      <c r="A221" s="32">
        <v>45016</v>
      </c>
      <c r="B221" s="33">
        <v>109.66000366210938</v>
      </c>
      <c r="C221" s="33">
        <v>155</v>
      </c>
      <c r="D221" s="33">
        <v>98.010002136230469</v>
      </c>
      <c r="E221" s="33">
        <v>339.07436134398313</v>
      </c>
      <c r="F221" s="4">
        <v>3.5999999999999999E-3</v>
      </c>
    </row>
    <row r="222" spans="1:12">
      <c r="A222" s="32">
        <v>45044</v>
      </c>
      <c r="B222" s="33">
        <v>118.33999633789063</v>
      </c>
      <c r="C222" s="33">
        <v>163.69999694824219</v>
      </c>
      <c r="D222" s="33">
        <v>89.370002746582031</v>
      </c>
      <c r="E222" s="33">
        <v>344.03921050894445</v>
      </c>
      <c r="F222" s="4">
        <v>3.4999999999999996E-3</v>
      </c>
    </row>
    <row r="223" spans="1:12">
      <c r="A223" s="32">
        <v>45077</v>
      </c>
      <c r="B223" s="33">
        <v>102.18000030517578</v>
      </c>
      <c r="C223" s="33">
        <v>155.05999755859375</v>
      </c>
      <c r="D223" s="33">
        <v>118.20999908447266</v>
      </c>
      <c r="E223" s="33">
        <v>344.89322727572778</v>
      </c>
      <c r="F223" s="4">
        <v>3.5999999999999999E-3</v>
      </c>
      <c r="H223" s="22"/>
      <c r="I223" s="21"/>
      <c r="J223" s="21"/>
      <c r="K223" s="21"/>
      <c r="L223" s="21"/>
    </row>
    <row r="224" spans="1:12">
      <c r="A224" s="32">
        <v>45107</v>
      </c>
      <c r="B224" s="33">
        <v>107.25</v>
      </c>
      <c r="C224" s="33">
        <v>165.52000427246094</v>
      </c>
      <c r="D224" s="33">
        <v>113.91000366210938</v>
      </c>
      <c r="E224" s="33">
        <v>367.21730807314015</v>
      </c>
      <c r="F224" s="4">
        <v>4.0000000000000001E-3</v>
      </c>
      <c r="H224" s="22"/>
      <c r="I224" s="21"/>
      <c r="J224" s="21"/>
      <c r="K224" s="21"/>
      <c r="L224" s="21"/>
    </row>
    <row r="225" spans="1:12">
      <c r="A225" s="32">
        <v>45138</v>
      </c>
      <c r="B225" s="33">
        <v>107.23999786376953</v>
      </c>
      <c r="C225" s="33">
        <v>167.52999877929688</v>
      </c>
      <c r="D225" s="33">
        <v>114.40000152587891</v>
      </c>
      <c r="E225" s="33">
        <v>378.65205624133608</v>
      </c>
      <c r="F225" s="4">
        <v>4.5000000000000005E-3</v>
      </c>
      <c r="H225" s="22"/>
      <c r="I225" s="21"/>
      <c r="J225" s="21"/>
      <c r="K225" s="21"/>
      <c r="L225" s="21"/>
    </row>
    <row r="226" spans="1:12">
      <c r="A226" s="32">
        <v>45169</v>
      </c>
      <c r="B226" s="33">
        <v>111.19000244140625</v>
      </c>
      <c r="C226" s="33">
        <v>161.67999267578125</v>
      </c>
      <c r="D226" s="33">
        <v>105.72000122070313</v>
      </c>
      <c r="E226" s="33">
        <v>371.94369265298042</v>
      </c>
      <c r="F226" s="4">
        <v>4.5000000000000005E-3</v>
      </c>
      <c r="H226" s="22"/>
      <c r="I226" s="21"/>
      <c r="J226" s="21"/>
      <c r="K226" s="21"/>
      <c r="L226" s="21"/>
    </row>
    <row r="227" spans="1:12">
      <c r="A227" s="32">
        <v>45198</v>
      </c>
      <c r="B227" s="33">
        <v>117.58000183105469</v>
      </c>
      <c r="C227" s="33">
        <v>155.75</v>
      </c>
      <c r="D227" s="33">
        <v>102.81999969482422</v>
      </c>
      <c r="E227" s="33">
        <v>353.82285959469277</v>
      </c>
      <c r="F227" s="4">
        <v>4.3E-3</v>
      </c>
      <c r="H227" s="22"/>
      <c r="I227" s="21"/>
      <c r="J227" s="21"/>
      <c r="K227" s="21"/>
      <c r="L227" s="21"/>
    </row>
    <row r="228" spans="1:12">
      <c r="A228" s="32">
        <v>45230</v>
      </c>
      <c r="B228" s="33">
        <v>105.84999847412109</v>
      </c>
      <c r="C228" s="33">
        <v>148.33999633789063</v>
      </c>
      <c r="D228" s="33">
        <v>98.5</v>
      </c>
      <c r="E228" s="33">
        <v>346.04594362664204</v>
      </c>
      <c r="F228" s="4">
        <v>4.6999999999999993E-3</v>
      </c>
      <c r="H228" s="22"/>
      <c r="I228" s="21"/>
      <c r="J228" s="21"/>
      <c r="K228" s="21"/>
      <c r="L228" s="21"/>
    </row>
    <row r="229" spans="1:12">
      <c r="A229" s="32">
        <v>45260</v>
      </c>
      <c r="B229" s="33">
        <v>102.73999786376953</v>
      </c>
      <c r="C229" s="33">
        <v>154.66000366210938</v>
      </c>
      <c r="D229" s="33">
        <v>121.16000366210938</v>
      </c>
      <c r="E229" s="33">
        <v>376.90606640702362</v>
      </c>
      <c r="F229" s="4">
        <v>4.4000000000000003E-3</v>
      </c>
      <c r="H229" s="22"/>
      <c r="I229" s="21"/>
      <c r="J229" s="21"/>
      <c r="K229" s="21"/>
      <c r="L229" s="21"/>
    </row>
    <row r="230" spans="1:12">
      <c r="A230" s="32">
        <v>45289</v>
      </c>
      <c r="B230" s="33">
        <v>99.980003356933594</v>
      </c>
      <c r="C230" s="33">
        <v>156.74000549316406</v>
      </c>
      <c r="D230" s="33">
        <v>147.41000366210938</v>
      </c>
      <c r="E230" s="33">
        <v>393.57630866723878</v>
      </c>
      <c r="F230" s="4">
        <v>4.3E-3</v>
      </c>
      <c r="H230" s="22"/>
      <c r="I230" s="21"/>
      <c r="J230" s="21"/>
      <c r="K230" s="21"/>
      <c r="L230" s="21"/>
    </row>
    <row r="231" spans="1:12">
      <c r="A231" s="32">
        <v>45322</v>
      </c>
      <c r="B231" s="33">
        <v>102.80999755859375</v>
      </c>
      <c r="C231" s="33">
        <v>158.89999389648438</v>
      </c>
      <c r="D231" s="33">
        <v>167.69000244140625</v>
      </c>
      <c r="E231" s="33">
        <v>399.83249719453426</v>
      </c>
      <c r="F231" s="4">
        <v>4.6999999999999993E-3</v>
      </c>
      <c r="H231" s="22"/>
      <c r="I231" s="21"/>
      <c r="J231" s="21"/>
      <c r="K231" s="21"/>
      <c r="L231" s="21"/>
    </row>
    <row r="232" spans="1:12">
      <c r="A232" s="32">
        <v>45351</v>
      </c>
      <c r="B232" s="33">
        <v>104.51999664306641</v>
      </c>
      <c r="C232" s="33">
        <v>161.3800048828125</v>
      </c>
      <c r="D232" s="33">
        <v>192.52999877929688</v>
      </c>
      <c r="E232" s="33">
        <v>420.51208000528089</v>
      </c>
      <c r="F232" s="4">
        <v>4.1999999999999997E-3</v>
      </c>
      <c r="H232" s="22"/>
      <c r="I232" s="21"/>
      <c r="J232" s="21"/>
      <c r="K232" s="21"/>
      <c r="L232" s="21"/>
    </row>
    <row r="233" spans="1:12">
      <c r="A233" s="32">
        <v>45379</v>
      </c>
      <c r="B233" s="33">
        <v>116.23999786376953</v>
      </c>
      <c r="C233" s="33">
        <v>158.19000244140625</v>
      </c>
      <c r="D233" s="33">
        <v>180.49000549316406</v>
      </c>
      <c r="E233" s="33">
        <v>433.55584527031488</v>
      </c>
      <c r="F233" s="4">
        <v>4.3E-3</v>
      </c>
      <c r="H233" s="22"/>
      <c r="I233" s="21"/>
      <c r="J233" s="21"/>
      <c r="K233" s="21"/>
      <c r="L233" s="21"/>
    </row>
    <row r="234" spans="1:12">
      <c r="A234" s="32">
        <v>45412</v>
      </c>
      <c r="B234" s="33">
        <v>118.26999664306641</v>
      </c>
      <c r="C234" s="33">
        <v>144.58999633789063</v>
      </c>
      <c r="D234" s="33">
        <v>158.3800048828125</v>
      </c>
      <c r="E234" s="33">
        <v>415.51340022443719</v>
      </c>
      <c r="F234" s="4">
        <v>4.6999999999999993E-3</v>
      </c>
      <c r="H234" s="22"/>
      <c r="I234" s="21"/>
      <c r="J234" s="21"/>
      <c r="K234" s="21"/>
      <c r="L234" s="21"/>
    </row>
    <row r="235" spans="1:12">
      <c r="A235" s="32">
        <v>45443</v>
      </c>
      <c r="B235" s="33">
        <v>117.26000213623047</v>
      </c>
      <c r="C235" s="33">
        <v>146.66999816894531</v>
      </c>
      <c r="D235" s="33">
        <v>166.89999389648438</v>
      </c>
      <c r="E235" s="33">
        <v>435.46686249917491</v>
      </c>
      <c r="F235" s="4">
        <v>4.4000000000000003E-3</v>
      </c>
      <c r="H235" s="22"/>
      <c r="I235" s="21"/>
      <c r="J235" s="21"/>
      <c r="K235" s="21"/>
      <c r="L235" s="21"/>
    </row>
    <row r="236" spans="1:12">
      <c r="A236" s="32">
        <v>45471</v>
      </c>
      <c r="B236" s="33">
        <v>115.12000274658203</v>
      </c>
      <c r="C236" s="33">
        <v>146.16000366210938</v>
      </c>
      <c r="D236" s="33">
        <v>162.21000671386719</v>
      </c>
      <c r="E236" s="33">
        <v>450.56439368935247</v>
      </c>
      <c r="F236" s="4">
        <v>4.0999999999999995E-3</v>
      </c>
      <c r="H236" s="22"/>
      <c r="I236" s="21"/>
      <c r="J236" s="21"/>
      <c r="K236" s="21"/>
      <c r="L236" s="21"/>
    </row>
    <row r="237" spans="1:12">
      <c r="A237" s="32">
        <v>45504</v>
      </c>
      <c r="B237" s="33">
        <v>118.58999633789063</v>
      </c>
      <c r="C237" s="33">
        <v>157.85000610351563</v>
      </c>
      <c r="D237" s="33">
        <v>144.47999572753906</v>
      </c>
      <c r="E237" s="33">
        <v>455.66539045481557</v>
      </c>
      <c r="F237" s="4">
        <v>4.5000000000000005E-3</v>
      </c>
      <c r="H237" s="22"/>
      <c r="I237" s="21"/>
      <c r="J237" s="21"/>
      <c r="K237" s="21"/>
      <c r="L237" s="21"/>
    </row>
    <row r="238" spans="1:12">
      <c r="A238" s="32">
        <v>45534</v>
      </c>
      <c r="B238" s="33">
        <v>117.94000244140625</v>
      </c>
      <c r="C238" s="33">
        <v>165.86000061035156</v>
      </c>
      <c r="D238" s="33">
        <v>148.55999755859375</v>
      </c>
      <c r="E238" s="33">
        <v>466.07036768103507</v>
      </c>
      <c r="F238" s="4">
        <v>4.7999999999999996E-3</v>
      </c>
      <c r="H238" s="22"/>
      <c r="I238" s="21"/>
      <c r="J238" s="21"/>
      <c r="K238" s="21"/>
      <c r="L238" s="21"/>
    </row>
    <row r="239" spans="1:12">
      <c r="A239" s="32">
        <v>45565</v>
      </c>
      <c r="B239" s="33">
        <v>117.22000122070313</v>
      </c>
      <c r="C239" s="33">
        <v>162.05999755859375</v>
      </c>
      <c r="D239" s="33">
        <v>164.08000183105469</v>
      </c>
      <c r="E239" s="33">
        <v>475.48353026602416</v>
      </c>
      <c r="F239" s="4">
        <v>4.0000000000000001E-3</v>
      </c>
      <c r="H239" s="22"/>
      <c r="I239" s="21"/>
      <c r="J239" s="21"/>
      <c r="K239" s="21"/>
      <c r="L239" s="21"/>
    </row>
    <row r="240" spans="1:12">
      <c r="A240" s="32">
        <v>45596</v>
      </c>
      <c r="B240" s="33">
        <v>116.77999877929688</v>
      </c>
      <c r="C240" s="33">
        <v>159.86000061035156</v>
      </c>
      <c r="D240" s="33">
        <v>144.07000732421875</v>
      </c>
      <c r="E240" s="33">
        <v>470.77777411050238</v>
      </c>
      <c r="F240" s="4">
        <v>3.9000000000000003E-3</v>
      </c>
      <c r="H240" s="22"/>
      <c r="I240" s="21"/>
      <c r="J240" s="21"/>
      <c r="K240" s="21"/>
      <c r="L240" s="21"/>
    </row>
    <row r="241" spans="1:12">
      <c r="A241" s="32">
        <v>45625</v>
      </c>
      <c r="B241" s="33">
        <v>117.95999908447266</v>
      </c>
      <c r="C241" s="33">
        <v>155.00999450683594</v>
      </c>
      <c r="D241" s="33">
        <v>137.17500305175781</v>
      </c>
      <c r="E241" s="33">
        <v>497.75397716020865</v>
      </c>
      <c r="F241" s="4">
        <v>4.0000000000000001E-3</v>
      </c>
      <c r="H241" s="22"/>
      <c r="I241" s="21"/>
      <c r="J241" s="21"/>
      <c r="K241" s="21"/>
      <c r="L241" s="21"/>
    </row>
    <row r="242" spans="1:12">
      <c r="A242" s="32">
        <v>45657</v>
      </c>
      <c r="B242" s="33">
        <v>107.56999969482422</v>
      </c>
      <c r="C242" s="33">
        <v>144.6199951171875</v>
      </c>
      <c r="D242" s="33">
        <v>120.79000091552734</v>
      </c>
      <c r="E242" s="33">
        <v>485.31503729619118</v>
      </c>
      <c r="F242" s="4">
        <v>3.7000000000000002E-3</v>
      </c>
      <c r="H242" s="22"/>
      <c r="I242" s="21"/>
      <c r="J242" s="21"/>
      <c r="K242" s="21"/>
      <c r="L242" s="21"/>
    </row>
    <row r="243" spans="1:12">
      <c r="A243" s="27"/>
      <c r="B243" s="27"/>
      <c r="C243" s="27"/>
      <c r="D243" s="27"/>
      <c r="H243" s="22"/>
      <c r="I243" s="21"/>
      <c r="J243" s="21"/>
      <c r="K243" s="21"/>
      <c r="L243" s="21"/>
    </row>
    <row r="244" spans="1:12">
      <c r="A244" s="27"/>
      <c r="B244" s="27"/>
      <c r="C244" s="27"/>
      <c r="D244" s="27"/>
      <c r="H244" s="22"/>
      <c r="I244" s="21"/>
      <c r="J244" s="21"/>
      <c r="K244" s="21"/>
      <c r="L244" s="21"/>
    </row>
    <row r="245" spans="1:12">
      <c r="A245" s="27"/>
      <c r="B245" s="27"/>
      <c r="C245" s="27"/>
      <c r="D245" s="27"/>
      <c r="H245" s="22"/>
      <c r="I245" s="21"/>
      <c r="J245" s="21"/>
      <c r="K245" s="21"/>
      <c r="L245" s="21"/>
    </row>
    <row r="246" spans="1:12">
      <c r="A246" s="27"/>
      <c r="B246" s="27"/>
      <c r="C246" s="27"/>
      <c r="D246" s="27"/>
      <c r="H246" s="22"/>
      <c r="I246" s="21"/>
      <c r="J246" s="21"/>
      <c r="K246" s="21"/>
      <c r="L246" s="21"/>
    </row>
    <row r="247" spans="1:12">
      <c r="A247" s="27"/>
      <c r="B247" s="27"/>
      <c r="C247" s="27"/>
      <c r="D247" s="27"/>
      <c r="H247" s="22"/>
      <c r="I247" s="21"/>
      <c r="J247" s="21"/>
      <c r="K247" s="21"/>
      <c r="L247" s="21"/>
    </row>
    <row r="248" spans="1:12">
      <c r="A248" s="27"/>
      <c r="B248" s="27"/>
      <c r="C248" s="27"/>
      <c r="D248" s="27"/>
      <c r="H248" s="22"/>
      <c r="I248" s="21"/>
      <c r="J248" s="21"/>
      <c r="K248" s="21"/>
      <c r="L248" s="21"/>
    </row>
    <row r="249" spans="1:12">
      <c r="A249" s="22"/>
      <c r="B249" s="22"/>
      <c r="C249" s="22"/>
      <c r="D249" s="22"/>
      <c r="H249" s="22"/>
      <c r="I249" s="21"/>
      <c r="J249" s="21"/>
      <c r="K249" s="21"/>
      <c r="L249" s="21"/>
    </row>
    <row r="250" spans="1:12">
      <c r="A250" s="22"/>
      <c r="B250" s="22"/>
      <c r="C250" s="22"/>
      <c r="D250" s="22"/>
      <c r="H250" s="22"/>
      <c r="I250" s="21"/>
      <c r="J250" s="21"/>
      <c r="K250" s="21"/>
      <c r="L250" s="21"/>
    </row>
    <row r="251" spans="1:12">
      <c r="H251" s="22"/>
      <c r="I251" s="21"/>
      <c r="J251" s="21"/>
      <c r="K251" s="21"/>
      <c r="L251" s="21"/>
    </row>
    <row r="252" spans="1:12">
      <c r="H252" s="22"/>
      <c r="I252" s="21"/>
      <c r="J252" s="21"/>
      <c r="K252" s="21"/>
      <c r="L252" s="21"/>
    </row>
    <row r="253" spans="1:12">
      <c r="H253" s="22"/>
      <c r="I253" s="21"/>
      <c r="J253" s="21"/>
      <c r="K253" s="21"/>
      <c r="L253" s="21"/>
    </row>
    <row r="254" spans="1:12">
      <c r="H254" s="22"/>
      <c r="I254" s="21"/>
      <c r="J254" s="21"/>
      <c r="K254" s="21"/>
      <c r="L254" s="21"/>
    </row>
    <row r="255" spans="1:12">
      <c r="H255" s="22"/>
      <c r="I255" s="21"/>
      <c r="J255" s="21"/>
      <c r="K255" s="21"/>
      <c r="L255" s="21"/>
    </row>
    <row r="256" spans="1:12">
      <c r="H256" s="22"/>
      <c r="I256" s="21"/>
      <c r="J256" s="21"/>
      <c r="K256" s="21"/>
      <c r="L256" s="21"/>
    </row>
    <row r="257" spans="8:12">
      <c r="H257" s="22"/>
      <c r="I257" s="21"/>
      <c r="J257" s="21"/>
      <c r="K257" s="21"/>
      <c r="L257" s="21"/>
    </row>
    <row r="258" spans="8:12">
      <c r="H258" s="22"/>
      <c r="I258" s="21"/>
      <c r="J258" s="21"/>
      <c r="K258" s="21"/>
      <c r="L258" s="21"/>
    </row>
    <row r="259" spans="8:12">
      <c r="H259" s="22"/>
      <c r="I259" s="21"/>
      <c r="J259" s="21"/>
      <c r="K259" s="21"/>
      <c r="L259" s="21"/>
    </row>
    <row r="260" spans="8:12">
      <c r="H260" s="22"/>
      <c r="I260" s="21"/>
      <c r="J260" s="21"/>
      <c r="K260" s="21"/>
      <c r="L260" s="21"/>
    </row>
    <row r="261" spans="8:12">
      <c r="H261" s="22"/>
      <c r="I261" s="21"/>
      <c r="J261" s="21"/>
      <c r="K261" s="21"/>
      <c r="L261" s="21"/>
    </row>
    <row r="262" spans="8:12">
      <c r="H262" s="22"/>
      <c r="I262" s="21"/>
      <c r="J262" s="21"/>
      <c r="K262" s="21"/>
      <c r="L262" s="21"/>
    </row>
    <row r="263" spans="8:12">
      <c r="H263" s="22"/>
      <c r="I263" s="21"/>
      <c r="J263" s="21"/>
      <c r="K263" s="21"/>
      <c r="L263" s="21"/>
    </row>
    <row r="264" spans="8:12">
      <c r="H264" s="22"/>
      <c r="I264" s="21"/>
      <c r="J264" s="21"/>
      <c r="K264" s="21"/>
      <c r="L264" s="21"/>
    </row>
    <row r="265" spans="8:12">
      <c r="H265" s="22"/>
      <c r="I265" s="21"/>
      <c r="J265" s="21"/>
      <c r="K265" s="21"/>
      <c r="L265" s="21"/>
    </row>
    <row r="266" spans="8:12">
      <c r="H266" s="22"/>
      <c r="I266" s="21"/>
      <c r="J266" s="21"/>
      <c r="K266" s="21"/>
      <c r="L266" s="21"/>
    </row>
    <row r="267" spans="8:12">
      <c r="H267" s="22"/>
      <c r="I267" s="21"/>
      <c r="J267" s="21"/>
      <c r="K267" s="21"/>
      <c r="L267" s="21"/>
    </row>
    <row r="268" spans="8:12">
      <c r="H268" s="22"/>
      <c r="I268" s="21"/>
      <c r="J268" s="21"/>
      <c r="K268" s="21"/>
      <c r="L268" s="21"/>
    </row>
    <row r="269" spans="8:12">
      <c r="H269" s="22"/>
      <c r="I269" s="21"/>
      <c r="J269" s="21"/>
      <c r="K269" s="21"/>
      <c r="L269" s="21"/>
    </row>
    <row r="270" spans="8:12">
      <c r="H270" s="22"/>
      <c r="I270" s="21"/>
      <c r="J270" s="21"/>
      <c r="K270" s="21"/>
      <c r="L270" s="21"/>
    </row>
    <row r="271" spans="8:12">
      <c r="H271" s="22"/>
      <c r="I271" s="21"/>
      <c r="J271" s="21"/>
      <c r="K271" s="21"/>
      <c r="L271" s="21"/>
    </row>
    <row r="272" spans="8:12">
      <c r="H272" s="22"/>
      <c r="I272" s="21"/>
      <c r="J272" s="21"/>
      <c r="K272" s="21"/>
      <c r="L272" s="21"/>
    </row>
    <row r="273" spans="8:12">
      <c r="H273" s="22"/>
      <c r="I273" s="21"/>
      <c r="J273" s="21"/>
      <c r="K273" s="21"/>
      <c r="L273" s="21"/>
    </row>
    <row r="274" spans="8:12">
      <c r="H274" s="22"/>
      <c r="I274" s="21"/>
      <c r="J274" s="21"/>
      <c r="K274" s="21"/>
      <c r="L274" s="21"/>
    </row>
    <row r="275" spans="8:12">
      <c r="H275" s="22"/>
      <c r="I275" s="21"/>
      <c r="J275" s="21"/>
      <c r="K275" s="21"/>
      <c r="L275" s="21"/>
    </row>
    <row r="276" spans="8:12">
      <c r="H276" s="22"/>
      <c r="I276" s="21"/>
      <c r="J276" s="21"/>
      <c r="K276" s="21"/>
      <c r="L276" s="21"/>
    </row>
    <row r="277" spans="8:12">
      <c r="H277" s="22"/>
      <c r="I277" s="21"/>
      <c r="J277" s="21"/>
      <c r="K277" s="21"/>
      <c r="L277" s="21"/>
    </row>
    <row r="278" spans="8:12">
      <c r="H278" s="22"/>
      <c r="I278" s="21"/>
      <c r="J278" s="21"/>
      <c r="K278" s="21"/>
      <c r="L278" s="21"/>
    </row>
    <row r="279" spans="8:12">
      <c r="H279" s="22"/>
      <c r="I279" s="21"/>
      <c r="J279" s="21"/>
      <c r="K279" s="21"/>
      <c r="L279" s="21"/>
    </row>
    <row r="280" spans="8:12">
      <c r="H280" s="22"/>
      <c r="I280" s="21"/>
      <c r="J280" s="21"/>
      <c r="K280" s="21"/>
      <c r="L280" s="21"/>
    </row>
  </sheetData>
  <phoneticPr fontId="5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88"/>
  <sheetViews>
    <sheetView zoomScale="86" zoomScaleNormal="100" workbookViewId="0">
      <selection activeCell="H44" sqref="H44"/>
    </sheetView>
  </sheetViews>
  <sheetFormatPr defaultColWidth="8.85546875" defaultRowHeight="12.6"/>
  <cols>
    <col min="1" max="1" width="16.42578125" customWidth="1"/>
    <col min="2" max="4" width="10" bestFit="1" customWidth="1"/>
    <col min="6" max="6" width="13.7109375" customWidth="1"/>
    <col min="10" max="10" width="12.28515625" style="12" customWidth="1"/>
    <col min="15" max="15" width="14.7109375" style="26" bestFit="1" customWidth="1"/>
    <col min="16" max="18" width="9" style="26" customWidth="1"/>
    <col min="20" max="20" width="11.7109375" style="26" customWidth="1"/>
    <col min="21" max="21" width="10.7109375" style="26" bestFit="1" customWidth="1"/>
    <col min="22" max="22" width="9.85546875" style="26" bestFit="1" customWidth="1"/>
    <col min="23" max="23" width="11.7109375" style="25" customWidth="1"/>
  </cols>
  <sheetData>
    <row r="1" spans="1:23" ht="12.95">
      <c r="A1" s="1" t="s">
        <v>6</v>
      </c>
      <c r="J1" s="15" t="s">
        <v>7</v>
      </c>
    </row>
    <row r="2" spans="1:23" ht="12.95">
      <c r="A2" s="1"/>
      <c r="J2" s="15"/>
    </row>
    <row r="3" spans="1:23" ht="12.95">
      <c r="A3" s="1"/>
      <c r="J3" s="15"/>
      <c r="K3" s="79" t="s">
        <v>8</v>
      </c>
      <c r="L3" s="79"/>
      <c r="M3" s="79"/>
      <c r="O3" s="80" t="s">
        <v>9</v>
      </c>
      <c r="P3" s="80"/>
      <c r="Q3" s="80"/>
      <c r="R3" s="80"/>
      <c r="T3" s="80" t="s">
        <v>10</v>
      </c>
      <c r="U3" s="80"/>
      <c r="V3" s="80"/>
      <c r="W3" s="80"/>
    </row>
    <row r="4" spans="1:23" ht="12.95">
      <c r="A4" s="1"/>
      <c r="J4" s="15"/>
      <c r="K4" s="20" t="s">
        <v>11</v>
      </c>
      <c r="L4" s="37" t="s">
        <v>12</v>
      </c>
      <c r="M4" s="37" t="s">
        <v>13</v>
      </c>
      <c r="O4" s="30" t="s">
        <v>0</v>
      </c>
      <c r="P4" s="30" t="s">
        <v>1</v>
      </c>
      <c r="Q4" s="30" t="s">
        <v>2</v>
      </c>
      <c r="R4" s="30" t="s">
        <v>3</v>
      </c>
      <c r="T4" s="34" t="s">
        <v>14</v>
      </c>
      <c r="U4" s="35" t="s">
        <v>15</v>
      </c>
      <c r="V4" s="35" t="s">
        <v>16</v>
      </c>
      <c r="W4" s="31" t="s">
        <v>4</v>
      </c>
    </row>
    <row r="5" spans="1:23">
      <c r="A5" s="39" t="s">
        <v>17</v>
      </c>
      <c r="J5" s="36"/>
      <c r="K5" s="38">
        <f>(P6-P5)/P5</f>
        <v>6.6328553203456502E-3</v>
      </c>
      <c r="L5" s="38">
        <f>(Q6-Q5)/Q5</f>
        <v>2.0182888934923499E-2</v>
      </c>
      <c r="M5" s="38">
        <f>(R6-R5)/R5</f>
        <v>-0.28247048763506272</v>
      </c>
      <c r="O5" s="32">
        <v>38352</v>
      </c>
      <c r="P5" s="33">
        <v>51.259998321533203</v>
      </c>
      <c r="Q5" s="33">
        <v>63.419998168945313</v>
      </c>
      <c r="R5" s="33">
        <v>22.020000457763672</v>
      </c>
      <c r="T5" s="33">
        <f t="shared" ref="T5:T68" si="0">P5/$P$5*100</f>
        <v>100</v>
      </c>
      <c r="U5" s="33">
        <f t="shared" ref="U5:U68" si="1">Q5/$Q$5*100</f>
        <v>100</v>
      </c>
      <c r="V5" s="33">
        <f t="shared" ref="V5:V68" si="2">R5/$R$5*100</f>
        <v>100</v>
      </c>
      <c r="W5" s="33">
        <v>100</v>
      </c>
    </row>
    <row r="6" spans="1:23">
      <c r="J6" s="16"/>
      <c r="K6" s="38">
        <f t="shared" ref="K6:K69" si="3">(P7-P6)/P6</f>
        <v>0.22693804739243995</v>
      </c>
      <c r="L6" s="38">
        <f t="shared" ref="L6:L69" si="4">(Q7-Q6)/Q6</f>
        <v>1.3910379726893605E-2</v>
      </c>
      <c r="M6" s="38">
        <f t="shared" ref="M6:M69" si="5">(R7-R6)/R6</f>
        <v>0.10443041470164993</v>
      </c>
      <c r="O6" s="32">
        <v>38383</v>
      </c>
      <c r="P6" s="33">
        <v>51.599998474121094</v>
      </c>
      <c r="Q6" s="33">
        <v>64.699996948242188</v>
      </c>
      <c r="R6" s="33">
        <v>15.800000190734863</v>
      </c>
      <c r="T6" s="33">
        <f t="shared" si="0"/>
        <v>100.66328553203456</v>
      </c>
      <c r="U6" s="33">
        <f t="shared" si="1"/>
        <v>102.01828889349235</v>
      </c>
      <c r="V6" s="33">
        <f t="shared" si="2"/>
        <v>71.752951236493729</v>
      </c>
      <c r="W6" s="33">
        <v>97.470955178559635</v>
      </c>
    </row>
    <row r="7" spans="1:23">
      <c r="J7" s="16"/>
      <c r="K7" s="38">
        <f t="shared" si="3"/>
        <v>-5.8600581562063964E-2</v>
      </c>
      <c r="L7" s="38">
        <f t="shared" si="4"/>
        <v>2.3780567443209565E-2</v>
      </c>
      <c r="M7" s="38">
        <f t="shared" si="5"/>
        <v>-7.6217757338482559E-2</v>
      </c>
      <c r="O7" s="32">
        <v>38411</v>
      </c>
      <c r="P7" s="33">
        <v>63.310001373291016</v>
      </c>
      <c r="Q7" s="33">
        <v>65.599998474121094</v>
      </c>
      <c r="R7" s="33">
        <v>17.450000762939453</v>
      </c>
      <c r="T7" s="33">
        <f t="shared" si="0"/>
        <v>123.50761499478213</v>
      </c>
      <c r="U7" s="33">
        <f t="shared" si="1"/>
        <v>103.43740203108875</v>
      </c>
      <c r="V7" s="33">
        <f t="shared" si="2"/>
        <v>79.246141690188026</v>
      </c>
      <c r="W7" s="33">
        <v>99.313486038682399</v>
      </c>
    </row>
    <row r="8" spans="1:23">
      <c r="J8" s="16"/>
      <c r="K8" s="38">
        <f t="shared" si="3"/>
        <v>-4.3120801352707044E-2</v>
      </c>
      <c r="L8" s="38">
        <f t="shared" si="4"/>
        <v>2.1887931970705671E-2</v>
      </c>
      <c r="M8" s="38">
        <f t="shared" si="5"/>
        <v>-0.11724573192311019</v>
      </c>
      <c r="O8" s="32">
        <v>38442</v>
      </c>
      <c r="P8" s="33">
        <v>59.599998474121094</v>
      </c>
      <c r="Q8" s="33">
        <v>67.160003662109375</v>
      </c>
      <c r="R8" s="33">
        <v>16.120000839233398</v>
      </c>
      <c r="T8" s="33">
        <f t="shared" si="0"/>
        <v>116.26999692874442</v>
      </c>
      <c r="U8" s="33">
        <f t="shared" si="1"/>
        <v>105.89720214623945</v>
      </c>
      <c r="V8" s="33">
        <f t="shared" si="2"/>
        <v>73.206178492834269</v>
      </c>
      <c r="W8" s="33">
        <v>97.414845864413465</v>
      </c>
    </row>
    <row r="9" spans="1:23">
      <c r="J9" s="16"/>
      <c r="K9" s="38">
        <f t="shared" si="3"/>
        <v>-1.4553709172771876E-2</v>
      </c>
      <c r="L9" s="38">
        <f t="shared" si="4"/>
        <v>-2.2293440777031021E-2</v>
      </c>
      <c r="M9" s="38">
        <f t="shared" si="5"/>
        <v>0.15249473971191127</v>
      </c>
      <c r="O9" s="32">
        <v>38471</v>
      </c>
      <c r="P9" s="33">
        <v>57.029998779296875</v>
      </c>
      <c r="Q9" s="33">
        <v>68.629997253417969</v>
      </c>
      <c r="R9" s="33">
        <v>14.229999542236328</v>
      </c>
      <c r="T9" s="33">
        <f t="shared" si="0"/>
        <v>111.25634148790017</v>
      </c>
      <c r="U9" s="33">
        <f t="shared" si="1"/>
        <v>108.21507290270441</v>
      </c>
      <c r="V9" s="33">
        <f t="shared" si="2"/>
        <v>64.623066514148078</v>
      </c>
      <c r="W9" s="33">
        <v>95.455970691134695</v>
      </c>
    </row>
    <row r="10" spans="1:23">
      <c r="J10" s="16"/>
      <c r="K10" s="38">
        <f t="shared" si="3"/>
        <v>2.2597872607168386E-2</v>
      </c>
      <c r="L10" s="38">
        <f t="shared" si="4"/>
        <v>-3.1296550251502825E-2</v>
      </c>
      <c r="M10" s="38">
        <f t="shared" si="5"/>
        <v>5.7317107068436485E-2</v>
      </c>
      <c r="O10" s="32">
        <v>38503</v>
      </c>
      <c r="P10" s="33">
        <v>56.200000762939453</v>
      </c>
      <c r="Q10" s="33">
        <v>67.099998474121094</v>
      </c>
      <c r="R10" s="33">
        <v>16.399999618530273</v>
      </c>
      <c r="T10" s="33">
        <f t="shared" si="0"/>
        <v>109.63714905025867</v>
      </c>
      <c r="U10" s="33">
        <f t="shared" si="1"/>
        <v>105.80258658376587</v>
      </c>
      <c r="V10" s="33">
        <f t="shared" si="2"/>
        <v>74.477744221608617</v>
      </c>
      <c r="W10" s="33">
        <v>98.315070301670062</v>
      </c>
    </row>
    <row r="11" spans="1:23">
      <c r="J11" s="16"/>
      <c r="K11" s="38">
        <f t="shared" si="3"/>
        <v>2.2272468280995359E-2</v>
      </c>
      <c r="L11" s="38">
        <f t="shared" si="4"/>
        <v>-1.6000014085036058E-2</v>
      </c>
      <c r="M11" s="38">
        <f t="shared" si="5"/>
        <v>0.15801613304537576</v>
      </c>
      <c r="O11" s="32">
        <v>38533</v>
      </c>
      <c r="P11" s="33">
        <v>57.470001220703125</v>
      </c>
      <c r="Q11" s="33">
        <v>65</v>
      </c>
      <c r="R11" s="33">
        <v>17.340000152587891</v>
      </c>
      <c r="T11" s="33">
        <f t="shared" si="0"/>
        <v>112.11471537750954</v>
      </c>
      <c r="U11" s="33">
        <f t="shared" si="1"/>
        <v>102.49133061600806</v>
      </c>
      <c r="V11" s="33">
        <f t="shared" si="2"/>
        <v>78.746593061374185</v>
      </c>
      <c r="W11" s="33">
        <v>98.301042973133519</v>
      </c>
    </row>
    <row r="12" spans="1:23">
      <c r="J12" s="16"/>
      <c r="K12" s="38">
        <f t="shared" si="3"/>
        <v>1.9574494057513298E-2</v>
      </c>
      <c r="L12" s="38">
        <f t="shared" si="4"/>
        <v>-8.911815243640233E-3</v>
      </c>
      <c r="M12" s="38">
        <f t="shared" si="5"/>
        <v>3.4362576527852275E-2</v>
      </c>
      <c r="O12" s="32">
        <v>38562</v>
      </c>
      <c r="P12" s="33">
        <v>58.75</v>
      </c>
      <c r="Q12" s="33">
        <v>63.959999084472656</v>
      </c>
      <c r="R12" s="33">
        <v>20.079999923706055</v>
      </c>
      <c r="T12" s="33">
        <f t="shared" si="0"/>
        <v>114.61178681958796</v>
      </c>
      <c r="U12" s="33">
        <f t="shared" si="1"/>
        <v>100.85146788255786</v>
      </c>
      <c r="V12" s="33">
        <f t="shared" si="2"/>
        <v>91.189825187430358</v>
      </c>
      <c r="W12" s="33">
        <v>101.83675490131361</v>
      </c>
    </row>
    <row r="13" spans="1:23">
      <c r="J13" s="16"/>
      <c r="K13" s="38">
        <f t="shared" si="3"/>
        <v>6.0767934840132348E-2</v>
      </c>
      <c r="L13" s="38">
        <f t="shared" si="4"/>
        <v>-1.7352991230589214E-3</v>
      </c>
      <c r="M13" s="38">
        <f t="shared" si="5"/>
        <v>0.21328840671834845</v>
      </c>
      <c r="O13" s="32">
        <v>38595</v>
      </c>
      <c r="P13" s="33">
        <v>59.900001525878906</v>
      </c>
      <c r="Q13" s="33">
        <v>63.389999389648438</v>
      </c>
      <c r="R13" s="33">
        <v>20.770000457763672</v>
      </c>
      <c r="T13" s="33">
        <f t="shared" si="0"/>
        <v>116.85525455960897</v>
      </c>
      <c r="U13" s="33">
        <f t="shared" si="1"/>
        <v>99.952698233738573</v>
      </c>
      <c r="V13" s="33">
        <f t="shared" si="2"/>
        <v>94.323342533994889</v>
      </c>
      <c r="W13" s="33">
        <v>100.6939401940722</v>
      </c>
    </row>
    <row r="14" spans="1:23">
      <c r="J14" s="16"/>
      <c r="K14" s="38">
        <f t="shared" si="3"/>
        <v>-0.11646209347268925</v>
      </c>
      <c r="L14" s="38">
        <f t="shared" si="4"/>
        <v>-1.0429833440958275E-2</v>
      </c>
      <c r="M14" s="38">
        <f t="shared" si="5"/>
        <v>-7.857148371586016E-2</v>
      </c>
      <c r="O14" s="32">
        <v>38625</v>
      </c>
      <c r="P14" s="33">
        <v>63.540000915527344</v>
      </c>
      <c r="Q14" s="33">
        <v>63.279998779296875</v>
      </c>
      <c r="R14" s="33">
        <v>25.200000762939453</v>
      </c>
      <c r="T14" s="33">
        <f t="shared" si="0"/>
        <v>123.95630705441437</v>
      </c>
      <c r="U14" s="33">
        <f t="shared" si="1"/>
        <v>99.779250404146197</v>
      </c>
      <c r="V14" s="33">
        <f t="shared" si="2"/>
        <v>114.4414179794197</v>
      </c>
      <c r="W14" s="33">
        <v>101.39365634695358</v>
      </c>
    </row>
    <row r="15" spans="1:23">
      <c r="J15" s="16"/>
      <c r="K15" s="38">
        <f t="shared" si="3"/>
        <v>3.3665824905529503E-2</v>
      </c>
      <c r="L15" s="38">
        <f t="shared" si="4"/>
        <v>-1.3893307996237936E-2</v>
      </c>
      <c r="M15" s="38">
        <f t="shared" si="5"/>
        <v>0.12747636000656154</v>
      </c>
      <c r="O15" s="32">
        <v>38656</v>
      </c>
      <c r="P15" s="33">
        <v>56.139999389648438</v>
      </c>
      <c r="Q15" s="33">
        <v>62.619998931884766</v>
      </c>
      <c r="R15" s="33">
        <v>23.219999313354492</v>
      </c>
      <c r="T15" s="33">
        <f t="shared" si="0"/>
        <v>109.52009603571378</v>
      </c>
      <c r="U15" s="33">
        <f t="shared" si="1"/>
        <v>98.738569441567279</v>
      </c>
      <c r="V15" s="33">
        <f t="shared" si="2"/>
        <v>105.44958597022978</v>
      </c>
      <c r="W15" s="33">
        <v>99.594857746385884</v>
      </c>
    </row>
    <row r="16" spans="1:23">
      <c r="J16" s="16"/>
      <c r="K16" s="38">
        <f t="shared" si="3"/>
        <v>-3.2052397888644231E-2</v>
      </c>
      <c r="L16" s="38">
        <f t="shared" si="4"/>
        <v>-2.6720672483868928E-2</v>
      </c>
      <c r="M16" s="38">
        <f t="shared" si="5"/>
        <v>0.16883116977734</v>
      </c>
      <c r="O16" s="32">
        <v>38686</v>
      </c>
      <c r="P16" s="33">
        <v>58.029998779296875</v>
      </c>
      <c r="Q16" s="33">
        <v>61.75</v>
      </c>
      <c r="R16" s="33">
        <v>26.180000305175781</v>
      </c>
      <c r="T16" s="33">
        <f t="shared" si="0"/>
        <v>113.2071804124889</v>
      </c>
      <c r="U16" s="33">
        <f t="shared" si="1"/>
        <v>97.366764085207663</v>
      </c>
      <c r="V16" s="33">
        <f t="shared" si="2"/>
        <v>118.89191535391363</v>
      </c>
      <c r="W16" s="33">
        <v>103.09921446960193</v>
      </c>
    </row>
    <row r="17" spans="10:23">
      <c r="J17" s="16"/>
      <c r="K17" s="38">
        <f t="shared" si="3"/>
        <v>0.1171444195398349</v>
      </c>
      <c r="L17" s="38">
        <f t="shared" si="4"/>
        <v>-4.2595634335932275E-2</v>
      </c>
      <c r="M17" s="38">
        <f t="shared" si="5"/>
        <v>0.36601302993359247</v>
      </c>
      <c r="O17" s="32">
        <v>38716</v>
      </c>
      <c r="P17" s="33">
        <v>56.169998168945313</v>
      </c>
      <c r="Q17" s="33">
        <v>60.099998474121094</v>
      </c>
      <c r="R17" s="33">
        <v>30.600000381469727</v>
      </c>
      <c r="T17" s="33">
        <f t="shared" si="0"/>
        <v>109.57861882205628</v>
      </c>
      <c r="U17" s="33">
        <f t="shared" si="1"/>
        <v>94.765058671272698</v>
      </c>
      <c r="V17" s="33">
        <f t="shared" si="2"/>
        <v>138.96457650018337</v>
      </c>
      <c r="W17" s="33">
        <v>103.00102316984616</v>
      </c>
    </row>
    <row r="18" spans="10:23">
      <c r="J18" s="16"/>
      <c r="K18" s="38">
        <f t="shared" si="3"/>
        <v>-5.3864558854426044E-2</v>
      </c>
      <c r="L18" s="38">
        <f t="shared" si="4"/>
        <v>1.9117241675586853E-3</v>
      </c>
      <c r="M18" s="38">
        <f t="shared" si="5"/>
        <v>-7.4880409694843372E-2</v>
      </c>
      <c r="O18" s="32">
        <v>38748</v>
      </c>
      <c r="P18" s="33">
        <v>62.75</v>
      </c>
      <c r="Q18" s="33">
        <v>57.540000915527344</v>
      </c>
      <c r="R18" s="33">
        <v>41.799999237060547</v>
      </c>
      <c r="T18" s="33">
        <f t="shared" si="0"/>
        <v>122.41514251794288</v>
      </c>
      <c r="U18" s="33">
        <f t="shared" si="1"/>
        <v>90.728480884288004</v>
      </c>
      <c r="V18" s="33">
        <f t="shared" si="2"/>
        <v>189.82742219845397</v>
      </c>
      <c r="W18" s="33">
        <v>105.62413360617859</v>
      </c>
    </row>
    <row r="19" spans="10:23">
      <c r="J19" s="16"/>
      <c r="K19" s="38">
        <f t="shared" si="3"/>
        <v>2.509687898388337E-2</v>
      </c>
      <c r="L19" s="38">
        <f t="shared" si="4"/>
        <v>2.7233298408837869E-2</v>
      </c>
      <c r="M19" s="38">
        <f t="shared" si="5"/>
        <v>-0.14248767991817785</v>
      </c>
      <c r="O19" s="32">
        <v>38776</v>
      </c>
      <c r="P19" s="33">
        <v>59.369998931884766</v>
      </c>
      <c r="Q19" s="33">
        <v>57.650001525878906</v>
      </c>
      <c r="R19" s="33">
        <v>38.669998168945313</v>
      </c>
      <c r="T19" s="33">
        <f t="shared" si="0"/>
        <v>115.8213048691122</v>
      </c>
      <c r="U19" s="33">
        <f t="shared" si="1"/>
        <v>90.90192871388038</v>
      </c>
      <c r="V19" s="33">
        <f t="shared" si="2"/>
        <v>175.61306705291776</v>
      </c>
      <c r="W19" s="33">
        <v>105.67199155059738</v>
      </c>
    </row>
    <row r="20" spans="10:23">
      <c r="J20" s="16"/>
      <c r="K20" s="38">
        <f t="shared" si="3"/>
        <v>3.6477180388419669E-2</v>
      </c>
      <c r="L20" s="38">
        <f t="shared" si="4"/>
        <v>-1.0300584224545882E-2</v>
      </c>
      <c r="M20" s="38">
        <f t="shared" si="5"/>
        <v>-2.4427062033120915E-2</v>
      </c>
      <c r="O20" s="32">
        <v>38807</v>
      </c>
      <c r="P20" s="33">
        <v>60.860000610351563</v>
      </c>
      <c r="Q20" s="33">
        <v>59.220001220703125</v>
      </c>
      <c r="R20" s="33">
        <v>33.159999847412109</v>
      </c>
      <c r="T20" s="33">
        <f t="shared" si="0"/>
        <v>118.72805814116776</v>
      </c>
      <c r="U20" s="33">
        <f t="shared" si="1"/>
        <v>93.377488064484382</v>
      </c>
      <c r="V20" s="33">
        <f t="shared" si="2"/>
        <v>150.5903685652321</v>
      </c>
      <c r="W20" s="33">
        <v>106.84121064096638</v>
      </c>
    </row>
    <row r="21" spans="10:23">
      <c r="J21" s="16"/>
      <c r="K21" s="38">
        <f t="shared" si="3"/>
        <v>-3.4400791386379956E-2</v>
      </c>
      <c r="L21" s="38">
        <f t="shared" si="4"/>
        <v>2.7469725193403391E-2</v>
      </c>
      <c r="M21" s="38">
        <f t="shared" si="5"/>
        <v>-4.5131349407654724E-2</v>
      </c>
      <c r="O21" s="32">
        <v>38835</v>
      </c>
      <c r="P21" s="33">
        <v>63.080001831054688</v>
      </c>
      <c r="Q21" s="33">
        <v>58.610000610351563</v>
      </c>
      <c r="R21" s="33">
        <v>32.349998474121094</v>
      </c>
      <c r="T21" s="33">
        <f t="shared" si="0"/>
        <v>123.05892293514992</v>
      </c>
      <c r="U21" s="33">
        <f t="shared" si="1"/>
        <v>92.415645383999632</v>
      </c>
      <c r="V21" s="33">
        <f t="shared" si="2"/>
        <v>146.91188829069864</v>
      </c>
      <c r="W21" s="33">
        <v>108.14327678394612</v>
      </c>
    </row>
    <row r="22" spans="10:23">
      <c r="J22" s="16"/>
      <c r="K22" s="38">
        <f t="shared" si="3"/>
        <v>7.2237502513748351E-3</v>
      </c>
      <c r="L22" s="38">
        <f t="shared" si="4"/>
        <v>-4.9817842191387067E-3</v>
      </c>
      <c r="M22" s="38">
        <f t="shared" si="5"/>
        <v>-0.20945287928761361</v>
      </c>
      <c r="O22" s="32">
        <v>38868</v>
      </c>
      <c r="P22" s="33">
        <v>60.909999847412109</v>
      </c>
      <c r="Q22" s="33">
        <v>60.220001220703125</v>
      </c>
      <c r="R22" s="33">
        <v>30.889999389648438</v>
      </c>
      <c r="T22" s="33">
        <f t="shared" si="0"/>
        <v>118.82559859902521</v>
      </c>
      <c r="U22" s="33">
        <f t="shared" si="1"/>
        <v>94.954277766269129</v>
      </c>
      <c r="V22" s="33">
        <f t="shared" si="2"/>
        <v>140.28155652811279</v>
      </c>
      <c r="W22" s="33">
        <v>104.79982177041389</v>
      </c>
    </row>
    <row r="23" spans="10:23">
      <c r="J23" s="16"/>
      <c r="K23" s="38">
        <f t="shared" si="3"/>
        <v>0.1041564718594719</v>
      </c>
      <c r="L23" s="38">
        <f t="shared" si="4"/>
        <v>4.3891874974693885E-2</v>
      </c>
      <c r="M23" s="38">
        <f t="shared" si="5"/>
        <v>-0.20597873345334061</v>
      </c>
      <c r="O23" s="32">
        <v>38898</v>
      </c>
      <c r="P23" s="33">
        <v>61.349998474121094</v>
      </c>
      <c r="Q23" s="33">
        <v>59.919998168945313</v>
      </c>
      <c r="R23" s="33">
        <v>24.420000076293945</v>
      </c>
      <c r="T23" s="33">
        <f t="shared" si="0"/>
        <v>119.6839650467747</v>
      </c>
      <c r="U23" s="33">
        <f t="shared" si="1"/>
        <v>94.481236043753412</v>
      </c>
      <c r="V23" s="33">
        <f t="shared" si="2"/>
        <v>110.89918060235142</v>
      </c>
      <c r="W23" s="33">
        <v>104.80889827711401</v>
      </c>
    </row>
    <row r="24" spans="10:23">
      <c r="J24" s="16"/>
      <c r="K24" s="38">
        <f t="shared" si="3"/>
        <v>-1.0333583854695958E-3</v>
      </c>
      <c r="L24" s="38">
        <f t="shared" si="4"/>
        <v>3.3733084744766259E-2</v>
      </c>
      <c r="M24" s="38">
        <f t="shared" si="5"/>
        <v>0.28880869302447465</v>
      </c>
      <c r="O24" s="32">
        <v>38929</v>
      </c>
      <c r="P24" s="33">
        <v>67.739997863769531</v>
      </c>
      <c r="Q24" s="33">
        <v>62.549999237060547</v>
      </c>
      <c r="R24" s="33">
        <v>19.389999389648438</v>
      </c>
      <c r="T24" s="33">
        <f t="shared" si="0"/>
        <v>132.14982458419911</v>
      </c>
      <c r="U24" s="33">
        <f t="shared" si="1"/>
        <v>98.62819464364037</v>
      </c>
      <c r="V24" s="33">
        <f t="shared" si="2"/>
        <v>88.056307840865799</v>
      </c>
      <c r="W24" s="33">
        <v>105.34193676150242</v>
      </c>
    </row>
    <row r="25" spans="10:23">
      <c r="J25" s="16"/>
      <c r="K25" s="38">
        <f t="shared" si="3"/>
        <v>-8.4232261008956172E-3</v>
      </c>
      <c r="L25" s="38">
        <f t="shared" si="4"/>
        <v>4.3303242103116934E-3</v>
      </c>
      <c r="M25" s="38">
        <f t="shared" si="5"/>
        <v>-5.6022165238368586E-3</v>
      </c>
      <c r="O25" s="32">
        <v>38960</v>
      </c>
      <c r="P25" s="33">
        <v>67.669998168945313</v>
      </c>
      <c r="Q25" s="33">
        <v>64.660003662109375</v>
      </c>
      <c r="R25" s="33">
        <v>24.989999771118164</v>
      </c>
      <c r="T25" s="33">
        <f t="shared" si="0"/>
        <v>132.01326645482666</v>
      </c>
      <c r="U25" s="33">
        <f t="shared" si="1"/>
        <v>101.9552278917776</v>
      </c>
      <c r="V25" s="33">
        <f t="shared" si="2"/>
        <v>113.48773502094704</v>
      </c>
      <c r="W25" s="33">
        <v>107.58300877945739</v>
      </c>
    </row>
    <row r="26" spans="10:23">
      <c r="J26" s="16"/>
      <c r="K26" s="38">
        <f t="shared" si="3"/>
        <v>6.4381517035210389E-2</v>
      </c>
      <c r="L26" s="38">
        <f t="shared" si="4"/>
        <v>3.7881105512619161E-2</v>
      </c>
      <c r="M26" s="38">
        <f t="shared" si="5"/>
        <v>-0.14406438103621144</v>
      </c>
      <c r="O26" s="32">
        <v>38989</v>
      </c>
      <c r="P26" s="33">
        <v>67.099998474121094</v>
      </c>
      <c r="Q26" s="33">
        <v>64.94000244140625</v>
      </c>
      <c r="R26" s="33">
        <v>24.850000381469727</v>
      </c>
      <c r="T26" s="33">
        <f t="shared" si="0"/>
        <v>130.90128886315989</v>
      </c>
      <c r="U26" s="33">
        <f t="shared" si="1"/>
        <v>102.39672708348522</v>
      </c>
      <c r="V26" s="33">
        <f t="shared" si="2"/>
        <v>112.85195215655988</v>
      </c>
      <c r="W26" s="33">
        <v>110.22592250313551</v>
      </c>
    </row>
    <row r="27" spans="10:23">
      <c r="J27" s="16"/>
      <c r="K27" s="38">
        <f t="shared" si="3"/>
        <v>7.5469049675670599E-2</v>
      </c>
      <c r="L27" s="38">
        <f t="shared" si="4"/>
        <v>-2.2106792730522885E-2</v>
      </c>
      <c r="M27" s="38">
        <f t="shared" si="5"/>
        <v>1.4104336182609034E-2</v>
      </c>
      <c r="O27" s="32">
        <v>39021</v>
      </c>
      <c r="P27" s="33">
        <v>71.419998168945313</v>
      </c>
      <c r="Q27" s="33">
        <v>67.400001525878906</v>
      </c>
      <c r="R27" s="33">
        <v>21.270000457763672</v>
      </c>
      <c r="T27" s="33">
        <f t="shared" si="0"/>
        <v>139.32891242203442</v>
      </c>
      <c r="U27" s="33">
        <f t="shared" si="1"/>
        <v>106.27562830628159</v>
      </c>
      <c r="V27" s="33">
        <f t="shared" si="2"/>
        <v>96.594005520396948</v>
      </c>
      <c r="W27" s="33">
        <v>113.69892402138755</v>
      </c>
    </row>
    <row r="28" spans="10:23">
      <c r="J28" s="16"/>
      <c r="K28" s="38">
        <f t="shared" si="3"/>
        <v>-2.3434489115621935E-3</v>
      </c>
      <c r="L28" s="38">
        <f t="shared" si="4"/>
        <v>1.668835910265083E-3</v>
      </c>
      <c r="M28" s="38">
        <f t="shared" si="5"/>
        <v>-5.656000605541197E-2</v>
      </c>
      <c r="O28" s="32">
        <v>39051</v>
      </c>
      <c r="P28" s="33">
        <v>76.80999755859375</v>
      </c>
      <c r="Q28" s="33">
        <v>65.910003662109375</v>
      </c>
      <c r="R28" s="33">
        <v>21.569999694824219</v>
      </c>
      <c r="T28" s="33">
        <f t="shared" si="0"/>
        <v>149.8439330348701</v>
      </c>
      <c r="U28" s="33">
        <f t="shared" si="1"/>
        <v>103.92621501900851</v>
      </c>
      <c r="V28" s="33">
        <f t="shared" si="2"/>
        <v>97.956399847481407</v>
      </c>
      <c r="W28" s="33">
        <v>115.57115981252889</v>
      </c>
    </row>
    <row r="29" spans="10:23">
      <c r="J29" s="16"/>
      <c r="K29" s="38">
        <f t="shared" si="3"/>
        <v>-3.3015775414033804E-2</v>
      </c>
      <c r="L29" s="38">
        <f t="shared" si="4"/>
        <v>1.1814699308581752E-2</v>
      </c>
      <c r="M29" s="38">
        <f t="shared" si="5"/>
        <v>-0.23587224082342723</v>
      </c>
      <c r="O29" s="32">
        <v>39080</v>
      </c>
      <c r="P29" s="33">
        <v>76.629997253417969</v>
      </c>
      <c r="Q29" s="33">
        <v>66.019996643066406</v>
      </c>
      <c r="R29" s="33">
        <v>20.350000381469727</v>
      </c>
      <c r="T29" s="33">
        <f t="shared" si="0"/>
        <v>149.49278143309533</v>
      </c>
      <c r="U29" s="33">
        <f t="shared" si="1"/>
        <v>104.09965081865018</v>
      </c>
      <c r="V29" s="33">
        <f t="shared" si="2"/>
        <v>92.415985278941505</v>
      </c>
      <c r="W29" s="33">
        <v>117.029176843356</v>
      </c>
    </row>
    <row r="30" spans="10:23">
      <c r="J30" s="16"/>
      <c r="K30" s="38">
        <f t="shared" si="3"/>
        <v>-3.2658545462595119E-2</v>
      </c>
      <c r="L30" s="38">
        <f t="shared" si="4"/>
        <v>-5.7934170206302017E-2</v>
      </c>
      <c r="M30" s="38">
        <f t="shared" si="5"/>
        <v>-3.0868198715305651E-2</v>
      </c>
      <c r="O30" s="32">
        <v>39113</v>
      </c>
      <c r="P30" s="33">
        <v>74.099998474121094</v>
      </c>
      <c r="Q30" s="33">
        <v>66.800003051757813</v>
      </c>
      <c r="R30" s="33">
        <v>15.550000190734863</v>
      </c>
      <c r="T30" s="33">
        <f t="shared" si="0"/>
        <v>144.55716133528102</v>
      </c>
      <c r="U30" s="33">
        <f t="shared" si="1"/>
        <v>105.32955689120089</v>
      </c>
      <c r="V30" s="33">
        <f t="shared" si="2"/>
        <v>70.617619743292707</v>
      </c>
      <c r="W30" s="33">
        <v>118.67449996699452</v>
      </c>
    </row>
    <row r="31" spans="10:23">
      <c r="J31" s="16"/>
      <c r="K31" s="38">
        <f t="shared" si="3"/>
        <v>5.2594819015286572E-2</v>
      </c>
      <c r="L31" s="38">
        <f t="shared" si="4"/>
        <v>-4.2428126024067085E-2</v>
      </c>
      <c r="M31" s="38">
        <f t="shared" si="5"/>
        <v>-0.1333775259396888</v>
      </c>
      <c r="O31" s="32">
        <v>39141</v>
      </c>
      <c r="P31" s="33">
        <v>71.680000305175781</v>
      </c>
      <c r="Q31" s="33">
        <v>62.930000305175781</v>
      </c>
      <c r="R31" s="33">
        <v>15.069999694824219</v>
      </c>
      <c r="T31" s="33">
        <f t="shared" si="0"/>
        <v>139.83613470986904</v>
      </c>
      <c r="U31" s="33">
        <f t="shared" si="1"/>
        <v>99.227376414511681</v>
      </c>
      <c r="V31" s="33">
        <f t="shared" si="2"/>
        <v>68.437781024254846</v>
      </c>
      <c r="W31" s="33">
        <v>116.08191959865337</v>
      </c>
    </row>
    <row r="32" spans="10:23">
      <c r="J32" s="16"/>
      <c r="K32" s="38">
        <f t="shared" si="3"/>
        <v>5.208748130065155E-2</v>
      </c>
      <c r="L32" s="38">
        <f t="shared" si="4"/>
        <v>6.5715283927494927E-2</v>
      </c>
      <c r="M32" s="38">
        <f t="shared" si="5"/>
        <v>5.8192898222726469E-2</v>
      </c>
      <c r="O32" s="32">
        <v>39171</v>
      </c>
      <c r="P32" s="33">
        <v>75.449996948242188</v>
      </c>
      <c r="Q32" s="33">
        <v>60.259998321533203</v>
      </c>
      <c r="R32" s="33">
        <v>13.060000419616699</v>
      </c>
      <c r="T32" s="33">
        <f t="shared" si="0"/>
        <v>147.19079090673185</v>
      </c>
      <c r="U32" s="33">
        <f t="shared" si="1"/>
        <v>95.017344782959228</v>
      </c>
      <c r="V32" s="33">
        <f t="shared" si="2"/>
        <v>59.309719110437563</v>
      </c>
      <c r="W32" s="33">
        <v>117.24041190837677</v>
      </c>
    </row>
    <row r="33" spans="1:23">
      <c r="J33" s="16"/>
      <c r="K33" s="38">
        <f t="shared" si="3"/>
        <v>4.7745037120975116E-2</v>
      </c>
      <c r="L33" s="38">
        <f t="shared" si="4"/>
        <v>-1.4792911007189356E-2</v>
      </c>
      <c r="M33" s="38">
        <f t="shared" si="5"/>
        <v>3.2561560989613089E-2</v>
      </c>
      <c r="O33" s="32">
        <v>39202</v>
      </c>
      <c r="P33" s="33">
        <v>79.379997253417969</v>
      </c>
      <c r="Q33" s="33">
        <v>64.220001220703125</v>
      </c>
      <c r="R33" s="33">
        <v>13.819999694824219</v>
      </c>
      <c r="T33" s="33">
        <f t="shared" si="0"/>
        <v>154.85758847571432</v>
      </c>
      <c r="U33" s="33">
        <f t="shared" si="1"/>
        <v>101.26143657340809</v>
      </c>
      <c r="V33" s="33">
        <f t="shared" si="2"/>
        <v>62.761123558249757</v>
      </c>
      <c r="W33" s="33">
        <v>122.31582942768497</v>
      </c>
    </row>
    <row r="34" spans="1:23">
      <c r="J34" s="16"/>
      <c r="K34" s="38">
        <f t="shared" si="3"/>
        <v>8.5367211747488219E-3</v>
      </c>
      <c r="L34" s="38">
        <f t="shared" si="4"/>
        <v>-2.6078734217496589E-2</v>
      </c>
      <c r="M34" s="38">
        <f t="shared" si="5"/>
        <v>2.1022937637587731E-3</v>
      </c>
      <c r="O34" s="32">
        <v>39233</v>
      </c>
      <c r="P34" s="33">
        <v>83.169998168945313</v>
      </c>
      <c r="Q34" s="33">
        <v>63.270000457763672</v>
      </c>
      <c r="R34" s="33">
        <v>14.270000457763672</v>
      </c>
      <c r="T34" s="33">
        <f t="shared" si="0"/>
        <v>162.25126978595202</v>
      </c>
      <c r="U34" s="33">
        <f t="shared" si="1"/>
        <v>99.763485153717511</v>
      </c>
      <c r="V34" s="33">
        <f t="shared" si="2"/>
        <v>64.804723710768343</v>
      </c>
      <c r="W34" s="33">
        <v>126.29711532114328</v>
      </c>
    </row>
    <row r="35" spans="1:23">
      <c r="A35" s="39" t="s">
        <v>18</v>
      </c>
      <c r="J35" s="16"/>
      <c r="K35" s="38">
        <f t="shared" si="3"/>
        <v>1.4902241785052808E-2</v>
      </c>
      <c r="L35" s="38">
        <f t="shared" si="4"/>
        <v>-1.8175899891248317E-2</v>
      </c>
      <c r="M35" s="38">
        <f t="shared" si="5"/>
        <v>-5.3146868443697572E-2</v>
      </c>
      <c r="O35" s="32">
        <v>39262</v>
      </c>
      <c r="P35" s="33">
        <v>83.879997253417969</v>
      </c>
      <c r="Q35" s="33">
        <v>61.619998931884766</v>
      </c>
      <c r="R35" s="33">
        <v>14.300000190734863</v>
      </c>
      <c r="T35" s="33">
        <f t="shared" si="0"/>
        <v>163.63636363636365</v>
      </c>
      <c r="U35" s="33">
        <f t="shared" si="1"/>
        <v>97.161779739782546</v>
      </c>
      <c r="V35" s="33">
        <f t="shared" si="2"/>
        <v>64.940962277287611</v>
      </c>
      <c r="W35" s="33">
        <v>124.04696679648819</v>
      </c>
    </row>
    <row r="36" spans="1:23">
      <c r="J36" s="16"/>
      <c r="K36" s="38">
        <f t="shared" si="3"/>
        <v>7.0481160915523786E-3</v>
      </c>
      <c r="L36" s="38">
        <f t="shared" si="4"/>
        <v>2.1322329182270144E-2</v>
      </c>
      <c r="M36" s="38">
        <f t="shared" si="5"/>
        <v>-3.9881828905051576E-2</v>
      </c>
      <c r="O36" s="32">
        <v>39294</v>
      </c>
      <c r="P36" s="33">
        <v>85.129997253417969</v>
      </c>
      <c r="Q36" s="33">
        <v>60.5</v>
      </c>
      <c r="R36" s="33">
        <v>13.539999961853027</v>
      </c>
      <c r="T36" s="33">
        <f t="shared" si="0"/>
        <v>166.07491229209955</v>
      </c>
      <c r="U36" s="33">
        <f t="shared" si="1"/>
        <v>95.395776957976736</v>
      </c>
      <c r="V36" s="33">
        <f t="shared" si="2"/>
        <v>61.489553498529467</v>
      </c>
      <c r="W36" s="33">
        <v>120.07970823156643</v>
      </c>
    </row>
    <row r="37" spans="1:23">
      <c r="J37" s="16"/>
      <c r="K37" s="38">
        <f t="shared" si="3"/>
        <v>7.9668656645488931E-2</v>
      </c>
      <c r="L37" s="38">
        <f t="shared" si="4"/>
        <v>6.3278782566457165E-2</v>
      </c>
      <c r="M37" s="38">
        <f t="shared" si="5"/>
        <v>1.5384600712702824E-2</v>
      </c>
      <c r="O37" s="32">
        <v>39325</v>
      </c>
      <c r="P37" s="33">
        <v>85.730003356933594</v>
      </c>
      <c r="Q37" s="33">
        <v>61.790000915527344</v>
      </c>
      <c r="R37" s="33">
        <v>13</v>
      </c>
      <c r="T37" s="33">
        <f t="shared" si="0"/>
        <v>167.24542755382865</v>
      </c>
      <c r="U37" s="33">
        <f t="shared" si="1"/>
        <v>97.429837116873145</v>
      </c>
      <c r="V37" s="33">
        <f t="shared" si="2"/>
        <v>59.0372376464531</v>
      </c>
      <c r="W37" s="33">
        <v>121.62436464453097</v>
      </c>
    </row>
    <row r="38" spans="1:23">
      <c r="J38" s="16"/>
      <c r="K38" s="38">
        <f t="shared" si="3"/>
        <v>-6.1581645403932603E-3</v>
      </c>
      <c r="L38" s="38">
        <f t="shared" si="4"/>
        <v>-8.0669528754225492E-3</v>
      </c>
      <c r="M38" s="38">
        <f t="shared" si="5"/>
        <v>-9.0909005525025531E-3</v>
      </c>
      <c r="O38" s="32">
        <v>39353</v>
      </c>
      <c r="P38" s="33">
        <v>92.55999755859375</v>
      </c>
      <c r="Q38" s="33">
        <v>65.699996948242188</v>
      </c>
      <c r="R38" s="33">
        <v>13.199999809265137</v>
      </c>
      <c r="T38" s="33">
        <f t="shared" si="0"/>
        <v>180.56964609714262</v>
      </c>
      <c r="U38" s="33">
        <f t="shared" si="1"/>
        <v>103.59507859527707</v>
      </c>
      <c r="V38" s="33">
        <f t="shared" si="2"/>
        <v>59.945501974824737</v>
      </c>
      <c r="W38" s="33">
        <v>125.97778731269389</v>
      </c>
    </row>
    <row r="39" spans="1:23">
      <c r="J39" s="16"/>
      <c r="K39" s="38">
        <f t="shared" si="3"/>
        <v>-3.076415118360119E-2</v>
      </c>
      <c r="L39" s="38">
        <f t="shared" si="4"/>
        <v>3.9435319426614164E-2</v>
      </c>
      <c r="M39" s="38">
        <f t="shared" si="5"/>
        <v>-0.25382260811845159</v>
      </c>
      <c r="O39" s="32">
        <v>39386</v>
      </c>
      <c r="P39" s="33">
        <v>91.989997863769531</v>
      </c>
      <c r="Q39" s="33">
        <v>65.169998168945313</v>
      </c>
      <c r="R39" s="33">
        <v>13.079999923706055</v>
      </c>
      <c r="T39" s="33">
        <f t="shared" si="0"/>
        <v>179.45766850547585</v>
      </c>
      <c r="U39" s="33">
        <f t="shared" si="1"/>
        <v>102.75938197812329</v>
      </c>
      <c r="V39" s="33">
        <f t="shared" si="2"/>
        <v>59.400543377801753</v>
      </c>
      <c r="W39" s="33">
        <v>127.84507228199882</v>
      </c>
    </row>
    <row r="40" spans="1:23">
      <c r="J40" s="16"/>
      <c r="K40" s="38">
        <f t="shared" si="3"/>
        <v>5.0807521234120405E-2</v>
      </c>
      <c r="L40" s="38">
        <f t="shared" si="4"/>
        <v>-1.5352833603846098E-2</v>
      </c>
      <c r="M40" s="38">
        <f t="shared" si="5"/>
        <v>-0.23155739506993384</v>
      </c>
      <c r="O40" s="32">
        <v>39416</v>
      </c>
      <c r="P40" s="33">
        <v>89.160003662109375</v>
      </c>
      <c r="Q40" s="33">
        <v>67.739997863769531</v>
      </c>
      <c r="R40" s="33">
        <v>9.7600002288818359</v>
      </c>
      <c r="T40" s="33">
        <f t="shared" si="0"/>
        <v>173.9368056605168</v>
      </c>
      <c r="U40" s="33">
        <f t="shared" si="1"/>
        <v>106.81173103051205</v>
      </c>
      <c r="V40" s="33">
        <f t="shared" si="2"/>
        <v>44.323342533994889</v>
      </c>
      <c r="W40" s="33">
        <v>122.2143375800383</v>
      </c>
    </row>
    <row r="41" spans="1:23">
      <c r="J41" s="16"/>
      <c r="K41" s="38">
        <f t="shared" si="3"/>
        <v>-7.7809806015177688E-2</v>
      </c>
      <c r="L41" s="38">
        <f t="shared" si="4"/>
        <v>-5.3373279182549804E-2</v>
      </c>
      <c r="M41" s="38">
        <f t="shared" si="5"/>
        <v>1.2000020345052083E-2</v>
      </c>
      <c r="O41" s="32">
        <v>39447</v>
      </c>
      <c r="P41" s="33">
        <v>93.69000244140625</v>
      </c>
      <c r="Q41" s="33">
        <v>66.699996948242188</v>
      </c>
      <c r="R41" s="33">
        <v>7.5</v>
      </c>
      <c r="T41" s="33">
        <f t="shared" si="0"/>
        <v>182.77410360750855</v>
      </c>
      <c r="U41" s="33">
        <f t="shared" si="1"/>
        <v>105.17186829706182</v>
      </c>
      <c r="V41" s="33">
        <f t="shared" si="2"/>
        <v>34.059944796030635</v>
      </c>
      <c r="W41" s="33">
        <v>121.1598125288798</v>
      </c>
    </row>
    <row r="42" spans="1:23">
      <c r="J42" s="16"/>
      <c r="K42" s="38">
        <f t="shared" si="3"/>
        <v>7.0601921247519014E-3</v>
      </c>
      <c r="L42" s="38">
        <f t="shared" si="4"/>
        <v>-1.8688633458701583E-2</v>
      </c>
      <c r="M42" s="38">
        <f t="shared" si="5"/>
        <v>-5.0065890224172516E-2</v>
      </c>
      <c r="O42" s="32">
        <v>39478</v>
      </c>
      <c r="P42" s="33">
        <v>86.400001525878906</v>
      </c>
      <c r="Q42" s="33">
        <v>63.139999389648438</v>
      </c>
      <c r="R42" s="33">
        <v>7.5900001525878906</v>
      </c>
      <c r="T42" s="33">
        <f t="shared" si="0"/>
        <v>168.55248606121035</v>
      </c>
      <c r="U42" s="33">
        <f t="shared" si="1"/>
        <v>99.558500808292393</v>
      </c>
      <c r="V42" s="33">
        <f t="shared" si="2"/>
        <v>34.468664826534358</v>
      </c>
      <c r="W42" s="33">
        <v>113.74925737672454</v>
      </c>
    </row>
    <row r="43" spans="1:23">
      <c r="J43" s="16"/>
      <c r="K43" s="38">
        <f t="shared" si="3"/>
        <v>-2.7927827209694354E-2</v>
      </c>
      <c r="L43" s="38">
        <f t="shared" si="4"/>
        <v>4.6965844175401707E-2</v>
      </c>
      <c r="M43" s="38">
        <f t="shared" si="5"/>
        <v>-0.18307907970561224</v>
      </c>
      <c r="O43" s="32">
        <v>39507</v>
      </c>
      <c r="P43" s="33">
        <v>87.010002136230469</v>
      </c>
      <c r="Q43" s="33">
        <v>61.959999084472656</v>
      </c>
      <c r="R43" s="33">
        <v>7.2100000381469727</v>
      </c>
      <c r="T43" s="33">
        <f t="shared" si="0"/>
        <v>169.74249899590706</v>
      </c>
      <c r="U43" s="33">
        <f t="shared" si="1"/>
        <v>97.697888478988375</v>
      </c>
      <c r="V43" s="33">
        <f t="shared" si="2"/>
        <v>32.74296043715529</v>
      </c>
      <c r="W43" s="33">
        <v>109.79520100336659</v>
      </c>
    </row>
    <row r="44" spans="1:23">
      <c r="J44" s="16"/>
      <c r="K44" s="38">
        <f t="shared" si="3"/>
        <v>0.10037831260311364</v>
      </c>
      <c r="L44" s="38">
        <f t="shared" si="4"/>
        <v>3.4222190493518427E-2</v>
      </c>
      <c r="M44" s="38">
        <f t="shared" si="5"/>
        <v>1.1884579498835229E-2</v>
      </c>
      <c r="O44" s="32">
        <v>39538</v>
      </c>
      <c r="P44" s="33">
        <v>84.580001831054688</v>
      </c>
      <c r="Q44" s="33">
        <v>64.870002746582031</v>
      </c>
      <c r="R44" s="33">
        <v>5.8899998664855957</v>
      </c>
      <c r="T44" s="33">
        <f t="shared" si="0"/>
        <v>165.00195981380764</v>
      </c>
      <c r="U44" s="33">
        <f t="shared" si="1"/>
        <v>102.28635228555831</v>
      </c>
      <c r="V44" s="33">
        <f t="shared" si="2"/>
        <v>26.748409373483629</v>
      </c>
      <c r="W44" s="33">
        <v>109.14086738398576</v>
      </c>
    </row>
    <row r="45" spans="1:23">
      <c r="J45" s="16"/>
      <c r="K45" s="38">
        <f t="shared" si="3"/>
        <v>-4.6309203532031773E-2</v>
      </c>
      <c r="L45" s="38">
        <f t="shared" si="4"/>
        <v>-5.2168503983569909E-3</v>
      </c>
      <c r="M45" s="38">
        <f t="shared" si="5"/>
        <v>0.15436242792038354</v>
      </c>
      <c r="O45" s="32">
        <v>39568</v>
      </c>
      <c r="P45" s="33">
        <v>93.069999694824219</v>
      </c>
      <c r="Q45" s="33">
        <v>67.089996337890625</v>
      </c>
      <c r="R45" s="33">
        <v>5.9600000381469727</v>
      </c>
      <c r="T45" s="33">
        <f t="shared" si="0"/>
        <v>181.56457811612441</v>
      </c>
      <c r="U45" s="33">
        <f t="shared" si="1"/>
        <v>105.78681531836183</v>
      </c>
      <c r="V45" s="33">
        <f t="shared" si="2"/>
        <v>27.066302971150186</v>
      </c>
      <c r="W45" s="33">
        <v>114.33015380553174</v>
      </c>
    </row>
    <row r="46" spans="1:23">
      <c r="J46" s="16"/>
      <c r="K46" s="38">
        <f t="shared" si="3"/>
        <v>-7.097846638687063E-3</v>
      </c>
      <c r="L46" s="38">
        <f t="shared" si="4"/>
        <v>-3.5960467526202466E-2</v>
      </c>
      <c r="M46" s="38">
        <f t="shared" si="5"/>
        <v>-0.15261630425426065</v>
      </c>
      <c r="O46" s="32">
        <v>39598</v>
      </c>
      <c r="P46" s="33">
        <v>88.760002136230469</v>
      </c>
      <c r="Q46" s="33">
        <v>66.739997863769531</v>
      </c>
      <c r="R46" s="33">
        <v>6.880000114440918</v>
      </c>
      <c r="T46" s="33">
        <f t="shared" si="0"/>
        <v>173.15646711393734</v>
      </c>
      <c r="U46" s="33">
        <f t="shared" si="1"/>
        <v>105.2349413287273</v>
      </c>
      <c r="V46" s="33">
        <f t="shared" si="2"/>
        <v>31.244323212605618</v>
      </c>
      <c r="W46" s="33">
        <v>115.55053138821047</v>
      </c>
    </row>
    <row r="47" spans="1:23">
      <c r="J47" s="16"/>
      <c r="K47" s="38">
        <f t="shared" si="3"/>
        <v>-8.7370897403988707E-2</v>
      </c>
      <c r="L47" s="38">
        <f t="shared" si="4"/>
        <v>6.4190318897800261E-2</v>
      </c>
      <c r="M47" s="38">
        <f t="shared" si="5"/>
        <v>-0.27787305433260956</v>
      </c>
      <c r="O47" s="32">
        <v>39629</v>
      </c>
      <c r="P47" s="33">
        <v>88.129997253417969</v>
      </c>
      <c r="Q47" s="33">
        <v>64.339996337890625</v>
      </c>
      <c r="R47" s="33">
        <v>5.8299999237060547</v>
      </c>
      <c r="T47" s="33">
        <f t="shared" si="0"/>
        <v>171.92742906586574</v>
      </c>
      <c r="U47" s="33">
        <f t="shared" si="1"/>
        <v>101.45064363845377</v>
      </c>
      <c r="V47" s="33">
        <f t="shared" si="2"/>
        <v>26.475930074972137</v>
      </c>
      <c r="W47" s="33">
        <v>105.61753251039674</v>
      </c>
    </row>
    <row r="48" spans="1:23">
      <c r="J48" s="16"/>
      <c r="K48" s="38">
        <f t="shared" si="3"/>
        <v>-5.2219093292516757E-3</v>
      </c>
      <c r="L48" s="38">
        <f t="shared" si="4"/>
        <v>2.8625661596746337E-2</v>
      </c>
      <c r="M48" s="38">
        <f t="shared" si="5"/>
        <v>0.49406173512092522</v>
      </c>
      <c r="O48" s="32">
        <v>39660</v>
      </c>
      <c r="P48" s="33">
        <v>80.430000305175781</v>
      </c>
      <c r="Q48" s="33">
        <v>68.470001220703125</v>
      </c>
      <c r="R48" s="33">
        <v>4.2100000381469727</v>
      </c>
      <c r="T48" s="33">
        <f t="shared" si="0"/>
        <v>156.90597530002043</v>
      </c>
      <c r="U48" s="33">
        <f t="shared" si="1"/>
        <v>107.96279280599323</v>
      </c>
      <c r="V48" s="33">
        <f t="shared" si="2"/>
        <v>19.118982518743035</v>
      </c>
      <c r="W48" s="33">
        <v>104.57620965080206</v>
      </c>
    </row>
    <row r="49" spans="1:23">
      <c r="J49" s="16"/>
      <c r="K49" s="38">
        <f t="shared" si="3"/>
        <v>-2.9371308728624035E-2</v>
      </c>
      <c r="L49" s="38">
        <f t="shared" si="4"/>
        <v>-1.6328290797897306E-2</v>
      </c>
      <c r="M49" s="38">
        <f t="shared" si="5"/>
        <v>-0.16534180733868312</v>
      </c>
      <c r="O49" s="32">
        <v>39689</v>
      </c>
      <c r="P49" s="33">
        <v>80.010002136230469</v>
      </c>
      <c r="Q49" s="33">
        <v>70.430000305175781</v>
      </c>
      <c r="R49" s="33">
        <v>6.2899999618530273</v>
      </c>
      <c r="T49" s="33">
        <f t="shared" si="0"/>
        <v>156.08662652378592</v>
      </c>
      <c r="U49" s="33">
        <f t="shared" si="1"/>
        <v>111.05329917789723</v>
      </c>
      <c r="V49" s="33">
        <f t="shared" si="2"/>
        <v>28.564940195699855</v>
      </c>
      <c r="W49" s="33">
        <v>105.85104627368143</v>
      </c>
    </row>
    <row r="50" spans="1:23">
      <c r="J50" s="16"/>
      <c r="K50" s="38">
        <f t="shared" si="3"/>
        <v>-4.5583321511669259E-2</v>
      </c>
      <c r="L50" s="38">
        <f t="shared" si="4"/>
        <v>-0.11460737249726562</v>
      </c>
      <c r="M50" s="38">
        <f t="shared" si="5"/>
        <v>-0.33333333333333331</v>
      </c>
      <c r="O50" s="32">
        <v>39721</v>
      </c>
      <c r="P50" s="33">
        <v>77.660003662109375</v>
      </c>
      <c r="Q50" s="33">
        <v>69.279998779296875</v>
      </c>
      <c r="R50" s="33">
        <v>5.25</v>
      </c>
      <c r="T50" s="33">
        <f t="shared" si="0"/>
        <v>151.50215802774639</v>
      </c>
      <c r="U50" s="33">
        <f t="shared" si="1"/>
        <v>109.23998861485462</v>
      </c>
      <c r="V50" s="33">
        <f t="shared" si="2"/>
        <v>23.841961357221443</v>
      </c>
      <c r="W50" s="33">
        <v>96.240675952208065</v>
      </c>
    </row>
    <row r="51" spans="1:23">
      <c r="J51" s="16"/>
      <c r="K51" s="38">
        <f t="shared" si="3"/>
        <v>8.1354540688747368E-2</v>
      </c>
      <c r="L51" s="38">
        <f t="shared" si="4"/>
        <v>-4.499508175199704E-2</v>
      </c>
      <c r="M51" s="38">
        <f t="shared" si="5"/>
        <v>-0.32571431568690706</v>
      </c>
      <c r="O51" s="32">
        <v>39752</v>
      </c>
      <c r="P51" s="33">
        <v>74.120002746582031</v>
      </c>
      <c r="Q51" s="33">
        <v>61.340000152587891</v>
      </c>
      <c r="R51" s="33">
        <v>3.5</v>
      </c>
      <c r="T51" s="33">
        <f t="shared" si="0"/>
        <v>144.59618644865589</v>
      </c>
      <c r="U51" s="33">
        <f t="shared" si="1"/>
        <v>96.720280548074939</v>
      </c>
      <c r="V51" s="33">
        <f t="shared" si="2"/>
        <v>15.894640904814297</v>
      </c>
      <c r="W51" s="33">
        <v>79.935144233942836</v>
      </c>
    </row>
    <row r="52" spans="1:23">
      <c r="A52" s="39" t="s">
        <v>19</v>
      </c>
      <c r="B52" s="30" t="s">
        <v>1</v>
      </c>
      <c r="C52" s="30" t="s">
        <v>2</v>
      </c>
      <c r="D52" s="30" t="s">
        <v>3</v>
      </c>
      <c r="J52" s="16"/>
      <c r="K52" s="38">
        <f t="shared" si="3"/>
        <v>-3.9925101526154926E-3</v>
      </c>
      <c r="L52" s="38">
        <f t="shared" si="4"/>
        <v>2.1338340063645142E-2</v>
      </c>
      <c r="M52" s="38">
        <f t="shared" si="5"/>
        <v>-8.47456856590309E-2</v>
      </c>
      <c r="O52" s="32">
        <v>39780</v>
      </c>
      <c r="P52" s="33">
        <v>80.150001525878906</v>
      </c>
      <c r="Q52" s="33">
        <v>58.580001831054688</v>
      </c>
      <c r="R52" s="33">
        <v>2.3599998950958252</v>
      </c>
      <c r="T52" s="33">
        <f t="shared" si="0"/>
        <v>156.35974278253079</v>
      </c>
      <c r="U52" s="33">
        <f t="shared" si="1"/>
        <v>92.368343617738219</v>
      </c>
      <c r="V52" s="33">
        <f t="shared" si="2"/>
        <v>10.717528819413587</v>
      </c>
      <c r="W52" s="33">
        <v>73.952076044623411</v>
      </c>
    </row>
    <row r="53" spans="1:23">
      <c r="A53" s="3" t="s">
        <v>20</v>
      </c>
      <c r="B53" s="66">
        <f>(P245-P5)/P5</f>
        <v>1.0985174252266101</v>
      </c>
      <c r="C53" s="66">
        <f>(Q245-Q5)/Q5</f>
        <v>1.2803531897294056</v>
      </c>
      <c r="D53" s="67">
        <f>(R245-R5)/R5</f>
        <v>4.4854676841271353</v>
      </c>
      <c r="J53" s="16"/>
      <c r="K53" s="38">
        <f t="shared" si="3"/>
        <v>-4.19641537928402E-2</v>
      </c>
      <c r="L53" s="38">
        <f t="shared" si="4"/>
        <v>-3.5768061822704762E-2</v>
      </c>
      <c r="M53" s="38">
        <f t="shared" si="5"/>
        <v>1.3888875091517962E-2</v>
      </c>
      <c r="O53" s="32">
        <v>39813</v>
      </c>
      <c r="P53" s="33">
        <v>79.830001831054688</v>
      </c>
      <c r="Q53" s="33">
        <v>59.830001831054688</v>
      </c>
      <c r="R53" s="33">
        <v>2.1600000858306885</v>
      </c>
      <c r="T53" s="33">
        <f t="shared" si="0"/>
        <v>155.73547492201115</v>
      </c>
      <c r="U53" s="33">
        <f t="shared" si="1"/>
        <v>94.339330744969132</v>
      </c>
      <c r="V53" s="33">
        <f t="shared" si="2"/>
        <v>9.809264491041958</v>
      </c>
      <c r="W53" s="33">
        <v>74.530497062512381</v>
      </c>
    </row>
    <row r="54" spans="1:23">
      <c r="J54" s="16"/>
      <c r="K54" s="38">
        <f t="shared" si="3"/>
        <v>-0.11218621148604897</v>
      </c>
      <c r="L54" s="38">
        <f t="shared" si="4"/>
        <v>-0.13329864464841074</v>
      </c>
      <c r="M54" s="38">
        <f t="shared" si="5"/>
        <v>-4.566205571678748E-3</v>
      </c>
      <c r="O54" s="32">
        <v>39843</v>
      </c>
      <c r="P54" s="33">
        <v>76.480003356933594</v>
      </c>
      <c r="Q54" s="33">
        <v>57.689998626708984</v>
      </c>
      <c r="R54" s="33">
        <v>2.190000057220459</v>
      </c>
      <c r="T54" s="33">
        <f t="shared" si="0"/>
        <v>149.20016750138288</v>
      </c>
      <c r="U54" s="33">
        <f t="shared" si="1"/>
        <v>90.964995730570479</v>
      </c>
      <c r="V54" s="33">
        <f t="shared" si="2"/>
        <v>9.945504140297702</v>
      </c>
      <c r="W54" s="33">
        <v>68.146412304442549</v>
      </c>
    </row>
    <row r="55" spans="1:23">
      <c r="J55" s="16"/>
      <c r="K55" s="38">
        <f t="shared" si="3"/>
        <v>2.9454630890687408E-3</v>
      </c>
      <c r="L55" s="38">
        <f t="shared" si="4"/>
        <v>5.1999969482421873E-2</v>
      </c>
      <c r="M55" s="38">
        <f t="shared" si="5"/>
        <v>0.39908250409057366</v>
      </c>
      <c r="O55" s="32">
        <v>39871</v>
      </c>
      <c r="P55" s="33">
        <v>67.900001525878906</v>
      </c>
      <c r="Q55" s="33">
        <v>50</v>
      </c>
      <c r="R55" s="33">
        <v>2.1800000667572021</v>
      </c>
      <c r="T55" s="33">
        <f t="shared" si="0"/>
        <v>132.46196595631881</v>
      </c>
      <c r="U55" s="33">
        <f t="shared" si="1"/>
        <v>78.839485089236973</v>
      </c>
      <c r="V55" s="33">
        <f t="shared" si="2"/>
        <v>9.9000909238791213</v>
      </c>
      <c r="W55" s="33">
        <v>60.65499372895902</v>
      </c>
    </row>
    <row r="56" spans="1:23">
      <c r="J56" s="16"/>
      <c r="K56" s="38">
        <f t="shared" si="3"/>
        <v>-2.0998536523010355E-2</v>
      </c>
      <c r="L56" s="38">
        <f t="shared" si="4"/>
        <v>-4.5626971621987571E-3</v>
      </c>
      <c r="M56" s="38">
        <f t="shared" si="5"/>
        <v>0.18360654148674857</v>
      </c>
      <c r="O56" s="32">
        <v>39903</v>
      </c>
      <c r="P56" s="33">
        <v>68.099998474121094</v>
      </c>
      <c r="Q56" s="33">
        <v>52.599998474121094</v>
      </c>
      <c r="R56" s="33">
        <v>3.0499999523162842</v>
      </c>
      <c r="T56" s="33">
        <f t="shared" si="0"/>
        <v>132.85212778774863</v>
      </c>
      <c r="U56" s="33">
        <f t="shared" si="1"/>
        <v>82.939135907887149</v>
      </c>
      <c r="V56" s="33">
        <f t="shared" si="2"/>
        <v>13.85104400050516</v>
      </c>
      <c r="W56" s="33">
        <v>65.835203643804874</v>
      </c>
    </row>
    <row r="57" spans="1:23">
      <c r="J57" s="16"/>
      <c r="K57" s="38">
        <f t="shared" si="3"/>
        <v>4.0197995781918551E-2</v>
      </c>
      <c r="L57" s="38">
        <f t="shared" si="4"/>
        <v>5.3475920634481193E-2</v>
      </c>
      <c r="M57" s="38">
        <f t="shared" si="5"/>
        <v>0.25761775451035462</v>
      </c>
      <c r="O57" s="32">
        <v>39933</v>
      </c>
      <c r="P57" s="33">
        <v>66.669998168945313</v>
      </c>
      <c r="Q57" s="33">
        <v>52.360000610351563</v>
      </c>
      <c r="R57" s="33">
        <v>3.6099998950958252</v>
      </c>
      <c r="T57" s="33">
        <f t="shared" si="0"/>
        <v>130.06242753023795</v>
      </c>
      <c r="U57" s="33">
        <f t="shared" si="1"/>
        <v>82.560709747845024</v>
      </c>
      <c r="V57" s="33">
        <f t="shared" si="2"/>
        <v>16.394186285418694</v>
      </c>
      <c r="W57" s="33">
        <v>72.018780117499503</v>
      </c>
    </row>
    <row r="58" spans="1:23">
      <c r="J58" s="16"/>
      <c r="K58" s="38">
        <f t="shared" si="3"/>
        <v>8.0750569619299252E-3</v>
      </c>
      <c r="L58" s="38">
        <f t="shared" si="4"/>
        <v>2.9731678647301155E-2</v>
      </c>
      <c r="M58" s="38">
        <f t="shared" si="5"/>
        <v>-0.1475771105558514</v>
      </c>
      <c r="O58" s="32">
        <v>39962</v>
      </c>
      <c r="P58" s="33">
        <v>69.349998474121094</v>
      </c>
      <c r="Q58" s="33">
        <v>55.159999847412109</v>
      </c>
      <c r="R58" s="33">
        <v>4.5399999618530273</v>
      </c>
      <c r="T58" s="33">
        <f t="shared" si="0"/>
        <v>135.29067644348453</v>
      </c>
      <c r="U58" s="33">
        <f t="shared" si="1"/>
        <v>86.975719709847212</v>
      </c>
      <c r="V58" s="33">
        <f t="shared" si="2"/>
        <v>20.617619743292707</v>
      </c>
      <c r="W58" s="33">
        <v>75.841639712192233</v>
      </c>
    </row>
    <row r="59" spans="1:23">
      <c r="J59" s="16"/>
      <c r="K59" s="38">
        <f t="shared" si="3"/>
        <v>6.8659090601538054E-3</v>
      </c>
      <c r="L59" s="38">
        <f t="shared" si="4"/>
        <v>7.2007045907128642E-2</v>
      </c>
      <c r="M59" s="38">
        <f t="shared" si="5"/>
        <v>-5.4263515746346282E-2</v>
      </c>
      <c r="O59" s="32">
        <v>39994</v>
      </c>
      <c r="P59" s="33">
        <v>69.910003662109375</v>
      </c>
      <c r="Q59" s="33">
        <v>56.799999237060547</v>
      </c>
      <c r="R59" s="33">
        <v>3.869999885559082</v>
      </c>
      <c r="T59" s="33">
        <f t="shared" si="0"/>
        <v>136.38315636218371</v>
      </c>
      <c r="U59" s="33">
        <f t="shared" si="1"/>
        <v>89.561653858378136</v>
      </c>
      <c r="V59" s="33">
        <f t="shared" si="2"/>
        <v>17.574930995038297</v>
      </c>
      <c r="W59" s="33">
        <v>75.856492177701512</v>
      </c>
    </row>
    <row r="60" spans="1:23">
      <c r="J60" s="16"/>
      <c r="K60" s="38">
        <f t="shared" si="3"/>
        <v>-1.7616108460314684E-2</v>
      </c>
      <c r="L60" s="38">
        <f t="shared" si="4"/>
        <v>-7.3903886919065263E-3</v>
      </c>
      <c r="M60" s="38">
        <f t="shared" si="5"/>
        <v>0.19125683914426492</v>
      </c>
      <c r="O60" s="32">
        <v>40025</v>
      </c>
      <c r="P60" s="33">
        <v>70.389999389648438</v>
      </c>
      <c r="Q60" s="33">
        <v>60.889999389648438</v>
      </c>
      <c r="R60" s="33">
        <v>3.6600000858306885</v>
      </c>
      <c r="T60" s="33">
        <f t="shared" si="0"/>
        <v>137.3195507111032</v>
      </c>
      <c r="U60" s="33">
        <f t="shared" si="1"/>
        <v>96.010723979276719</v>
      </c>
      <c r="V60" s="33">
        <f t="shared" si="2"/>
        <v>16.621253450248087</v>
      </c>
      <c r="W60" s="33">
        <v>81.480625783880129</v>
      </c>
    </row>
    <row r="61" spans="1:23">
      <c r="J61" s="16"/>
      <c r="K61" s="38">
        <f t="shared" si="3"/>
        <v>-7.8091236964796329E-3</v>
      </c>
      <c r="L61" s="38">
        <f t="shared" si="4"/>
        <v>7.4454131893476536E-3</v>
      </c>
      <c r="M61" s="38">
        <f t="shared" si="5"/>
        <v>0.29816506286430605</v>
      </c>
      <c r="O61" s="32">
        <v>40056</v>
      </c>
      <c r="P61" s="33">
        <v>69.150001525878906</v>
      </c>
      <c r="Q61" s="33">
        <v>60.439998626708984</v>
      </c>
      <c r="R61" s="33">
        <v>4.3600001335144043</v>
      </c>
      <c r="T61" s="33">
        <f t="shared" si="0"/>
        <v>134.90051461205474</v>
      </c>
      <c r="U61" s="33">
        <f t="shared" si="1"/>
        <v>95.301167410478513</v>
      </c>
      <c r="V61" s="33">
        <f t="shared" si="2"/>
        <v>19.800181847758243</v>
      </c>
      <c r="W61" s="33">
        <v>84.215129711532114</v>
      </c>
    </row>
    <row r="62" spans="1:23">
      <c r="J62" s="16"/>
      <c r="K62" s="38">
        <f t="shared" si="3"/>
        <v>4.4599876568607283E-2</v>
      </c>
      <c r="L62" s="38">
        <f t="shared" si="4"/>
        <v>-3.0218429479910599E-2</v>
      </c>
      <c r="M62" s="38">
        <f t="shared" si="5"/>
        <v>-0.18727914688269806</v>
      </c>
      <c r="O62" s="32">
        <v>40086</v>
      </c>
      <c r="P62" s="33">
        <v>68.610000610351563</v>
      </c>
      <c r="Q62" s="33">
        <v>60.889999389648438</v>
      </c>
      <c r="R62" s="33">
        <v>5.6599998474121094</v>
      </c>
      <c r="T62" s="33">
        <f t="shared" si="0"/>
        <v>133.84705980673044</v>
      </c>
      <c r="U62" s="33">
        <f t="shared" si="1"/>
        <v>96.010723979276719</v>
      </c>
      <c r="V62" s="33">
        <f t="shared" si="2"/>
        <v>25.703904313119768</v>
      </c>
      <c r="W62" s="33">
        <v>87.223579114132946</v>
      </c>
    </row>
    <row r="63" spans="1:23">
      <c r="J63" s="16"/>
      <c r="K63" s="38">
        <f t="shared" si="3"/>
        <v>4.7439676471934533E-2</v>
      </c>
      <c r="L63" s="38">
        <f t="shared" si="4"/>
        <v>6.4182912184504989E-2</v>
      </c>
      <c r="M63" s="38">
        <f t="shared" si="5"/>
        <v>0.52391312482902541</v>
      </c>
      <c r="O63" s="32">
        <v>40116</v>
      </c>
      <c r="P63" s="33">
        <v>71.669998168945313</v>
      </c>
      <c r="Q63" s="33">
        <v>59.049999237060547</v>
      </c>
      <c r="R63" s="33">
        <v>4.5999999046325684</v>
      </c>
      <c r="T63" s="33">
        <f t="shared" si="0"/>
        <v>139.81662215318161</v>
      </c>
      <c r="U63" s="33">
        <f t="shared" si="1"/>
        <v>93.109430687393797</v>
      </c>
      <c r="V63" s="33">
        <f t="shared" si="2"/>
        <v>20.890099041804199</v>
      </c>
      <c r="W63" s="33">
        <v>85.499867978084367</v>
      </c>
    </row>
    <row r="64" spans="1:23">
      <c r="J64" s="16"/>
      <c r="K64" s="38">
        <f t="shared" si="3"/>
        <v>-9.1647759176590446E-2</v>
      </c>
      <c r="L64" s="38">
        <f t="shared" si="4"/>
        <v>2.4984142356925632E-2</v>
      </c>
      <c r="M64" s="38">
        <f t="shared" si="5"/>
        <v>0.38088444923201331</v>
      </c>
      <c r="O64" s="32">
        <v>40147</v>
      </c>
      <c r="P64" s="33">
        <v>75.069999694824219</v>
      </c>
      <c r="Q64" s="33">
        <v>62.840000152587891</v>
      </c>
      <c r="R64" s="33">
        <v>7.0100002288818359</v>
      </c>
      <c r="T64" s="33">
        <f t="shared" si="0"/>
        <v>146.44947747352725</v>
      </c>
      <c r="U64" s="33">
        <f t="shared" si="1"/>
        <v>99.085465100752032</v>
      </c>
      <c r="V64" s="33">
        <f t="shared" si="2"/>
        <v>31.83469610878366</v>
      </c>
      <c r="W64" s="33">
        <v>90.404482144035924</v>
      </c>
    </row>
    <row r="65" spans="1:23">
      <c r="J65" s="16"/>
      <c r="K65" s="38">
        <f t="shared" si="3"/>
        <v>-5.5140079214124282E-2</v>
      </c>
      <c r="L65" s="38">
        <f t="shared" si="4"/>
        <v>-2.4064632256334376E-2</v>
      </c>
      <c r="M65" s="38">
        <f t="shared" si="5"/>
        <v>-0.22933886333059317</v>
      </c>
      <c r="O65" s="32">
        <v>40178</v>
      </c>
      <c r="P65" s="33">
        <v>68.19000244140625</v>
      </c>
      <c r="Q65" s="33">
        <v>64.410003662109375</v>
      </c>
      <c r="R65" s="33">
        <v>9.6800003051757813</v>
      </c>
      <c r="T65" s="33">
        <f t="shared" si="0"/>
        <v>133.02771103049594</v>
      </c>
      <c r="U65" s="33">
        <f t="shared" si="1"/>
        <v>101.56103046633143</v>
      </c>
      <c r="V65" s="33">
        <f t="shared" si="2"/>
        <v>43.960036802646243</v>
      </c>
      <c r="W65" s="33">
        <v>92.011023829955775</v>
      </c>
    </row>
    <row r="66" spans="1:23">
      <c r="J66" s="16"/>
      <c r="K66" s="38">
        <f t="shared" si="3"/>
        <v>8.8468057135556097E-3</v>
      </c>
      <c r="L66" s="38">
        <f t="shared" si="4"/>
        <v>2.227161760882689E-3</v>
      </c>
      <c r="M66" s="38">
        <f t="shared" si="5"/>
        <v>6.0321689941561243E-2</v>
      </c>
      <c r="O66" s="32">
        <v>40207</v>
      </c>
      <c r="P66" s="33">
        <v>64.430000305175781</v>
      </c>
      <c r="Q66" s="33">
        <v>62.860000610351563</v>
      </c>
      <c r="R66" s="33">
        <v>7.4600000381469727</v>
      </c>
      <c r="T66" s="33">
        <f t="shared" si="0"/>
        <v>125.69255250660075</v>
      </c>
      <c r="U66" s="33">
        <f t="shared" si="1"/>
        <v>99.117001616584773</v>
      </c>
      <c r="V66" s="33">
        <f t="shared" si="2"/>
        <v>33.878291930356305</v>
      </c>
      <c r="W66" s="33">
        <v>88.608984091359176</v>
      </c>
    </row>
    <row r="67" spans="1:23">
      <c r="J67" s="16"/>
      <c r="K67" s="38">
        <f t="shared" si="3"/>
        <v>3.0461590106670672E-2</v>
      </c>
      <c r="L67" s="38">
        <f t="shared" si="4"/>
        <v>3.4920586480034724E-2</v>
      </c>
      <c r="M67" s="38">
        <f t="shared" si="5"/>
        <v>0.17193434090855383</v>
      </c>
      <c r="O67" s="32">
        <v>40235</v>
      </c>
      <c r="P67" s="33">
        <v>65</v>
      </c>
      <c r="Q67" s="33">
        <v>63</v>
      </c>
      <c r="R67" s="33">
        <v>7.9099998474121094</v>
      </c>
      <c r="T67" s="33">
        <f t="shared" si="0"/>
        <v>126.80453009826753</v>
      </c>
      <c r="U67" s="33">
        <f t="shared" si="1"/>
        <v>99.33775121243859</v>
      </c>
      <c r="V67" s="33">
        <f t="shared" si="2"/>
        <v>35.921887751928963</v>
      </c>
      <c r="W67" s="33">
        <v>91.135553501881333</v>
      </c>
    </row>
    <row r="68" spans="1:23">
      <c r="J68" s="16"/>
      <c r="K68" s="38">
        <f t="shared" si="3"/>
        <v>1.1794464713938156E-2</v>
      </c>
      <c r="L68" s="38">
        <f t="shared" si="4"/>
        <v>-1.3803588015484395E-2</v>
      </c>
      <c r="M68" s="38">
        <f t="shared" si="5"/>
        <v>-2.1575054267872391E-2</v>
      </c>
      <c r="O68" s="32">
        <v>40268</v>
      </c>
      <c r="P68" s="33">
        <v>66.980003356933594</v>
      </c>
      <c r="Q68" s="33">
        <v>65.199996948242188</v>
      </c>
      <c r="R68" s="33">
        <v>9.2700004577636719</v>
      </c>
      <c r="T68" s="33">
        <f t="shared" si="0"/>
        <v>130.66719771778995</v>
      </c>
      <c r="U68" s="33">
        <f t="shared" si="1"/>
        <v>102.80668374438473</v>
      </c>
      <c r="V68" s="33">
        <f t="shared" si="2"/>
        <v>42.098093846747922</v>
      </c>
      <c r="W68" s="33">
        <v>96.493993002838494</v>
      </c>
    </row>
    <row r="69" spans="1:23">
      <c r="J69" s="16"/>
      <c r="K69" s="38">
        <f t="shared" si="3"/>
        <v>-0.10786480626661858</v>
      </c>
      <c r="L69" s="38">
        <f t="shared" si="4"/>
        <v>-9.331265209843935E-2</v>
      </c>
      <c r="M69" s="38">
        <f t="shared" si="5"/>
        <v>-5.5126793475563644E-2</v>
      </c>
      <c r="O69" s="32">
        <v>40298</v>
      </c>
      <c r="P69" s="33">
        <v>67.769996643066406</v>
      </c>
      <c r="Q69" s="33">
        <v>64.300003051757813</v>
      </c>
      <c r="R69" s="33">
        <v>9.0699996948242188</v>
      </c>
      <c r="T69" s="33">
        <f t="shared" ref="T69:T132" si="6">P69/$P$5*100</f>
        <v>132.20834737054159</v>
      </c>
      <c r="U69" s="33">
        <f t="shared" ref="U69:U132" si="7">Q69/$Q$5*100</f>
        <v>101.38758263673904</v>
      </c>
      <c r="V69" s="33">
        <f t="shared" ref="V69:V132" si="8">R69/$R$5*100</f>
        <v>41.189825187430344</v>
      </c>
      <c r="W69" s="33">
        <v>97.918179417783364</v>
      </c>
    </row>
    <row r="70" spans="1:23">
      <c r="A70" s="39" t="s">
        <v>21</v>
      </c>
      <c r="B70" s="30" t="s">
        <v>1</v>
      </c>
      <c r="C70" s="30" t="s">
        <v>2</v>
      </c>
      <c r="D70" s="30" t="s">
        <v>3</v>
      </c>
      <c r="J70" s="16"/>
      <c r="K70" s="38">
        <f t="shared" ref="K70:K133" si="9">(P71-P70)/P70</f>
        <v>-5.6070119764838992E-2</v>
      </c>
      <c r="L70" s="38">
        <f t="shared" ref="L70:L133" si="10">(Q71-Q70)/Q70</f>
        <v>1.3036057395818031E-2</v>
      </c>
      <c r="M70" s="38">
        <f t="shared" ref="M70:M133" si="11">(R71-R70)/R70</f>
        <v>-0.14585759249417113</v>
      </c>
      <c r="O70" s="32">
        <v>40326</v>
      </c>
      <c r="P70" s="33">
        <v>60.459999084472656</v>
      </c>
      <c r="Q70" s="33">
        <v>58.299999237060547</v>
      </c>
      <c r="R70" s="33">
        <v>8.5699996948242188</v>
      </c>
      <c r="T70" s="33">
        <f t="shared" si="6"/>
        <v>117.94771959458832</v>
      </c>
      <c r="U70" s="33">
        <f t="shared" si="7"/>
        <v>91.926838411055229</v>
      </c>
      <c r="V70" s="33">
        <f t="shared" si="8"/>
        <v>38.919162201028307</v>
      </c>
      <c r="W70" s="33">
        <v>89.891246946993206</v>
      </c>
    </row>
    <row r="71" spans="1:23">
      <c r="A71" s="3" t="s">
        <v>20</v>
      </c>
      <c r="B71" s="66">
        <f>_xlfn.STDEV.P(K5:K244)</f>
        <v>6.6462320601639382E-2</v>
      </c>
      <c r="C71" s="66">
        <f>_xlfn.STDEV.P(L5:L244)</f>
        <v>4.2741083533378674E-2</v>
      </c>
      <c r="D71" s="67">
        <f>_xlfn.STDEV.P(M5:M244)</f>
        <v>0.16898694830605113</v>
      </c>
      <c r="J71" s="16"/>
      <c r="K71" s="38">
        <f t="shared" si="9"/>
        <v>4.5733320909554308E-2</v>
      </c>
      <c r="L71" s="38">
        <f t="shared" si="10"/>
        <v>-1.6423995904981357E-2</v>
      </c>
      <c r="M71" s="38">
        <f t="shared" si="11"/>
        <v>2.3223988452202905E-2</v>
      </c>
      <c r="O71" s="32">
        <v>40359</v>
      </c>
      <c r="P71" s="33">
        <v>57.069999694824219</v>
      </c>
      <c r="Q71" s="33">
        <v>59.060001373291016</v>
      </c>
      <c r="R71" s="33">
        <v>7.320000171661377</v>
      </c>
      <c r="T71" s="33">
        <f t="shared" si="6"/>
        <v>111.3343768309301</v>
      </c>
      <c r="U71" s="33">
        <f t="shared" si="7"/>
        <v>93.125201952797838</v>
      </c>
      <c r="V71" s="33">
        <f t="shared" si="8"/>
        <v>33.242506900496174</v>
      </c>
      <c r="W71" s="33">
        <v>85.047692917024222</v>
      </c>
    </row>
    <row r="72" spans="1:23">
      <c r="J72" s="16"/>
      <c r="K72" s="38">
        <f t="shared" si="9"/>
        <v>-9.5509331754273664E-3</v>
      </c>
      <c r="L72" s="38">
        <f t="shared" si="10"/>
        <v>-1.8419688277045917E-2</v>
      </c>
      <c r="M72" s="38">
        <f t="shared" si="11"/>
        <v>-0.25100129439965246</v>
      </c>
      <c r="O72" s="32">
        <v>40389</v>
      </c>
      <c r="P72" s="33">
        <v>59.680000305175781</v>
      </c>
      <c r="Q72" s="33">
        <v>58.090000152587891</v>
      </c>
      <c r="R72" s="33">
        <v>7.4899997711181641</v>
      </c>
      <c r="T72" s="33">
        <f t="shared" si="6"/>
        <v>116.42606761480427</v>
      </c>
      <c r="U72" s="33">
        <f t="shared" si="7"/>
        <v>91.595714017274531</v>
      </c>
      <c r="V72" s="33">
        <f t="shared" si="8"/>
        <v>34.014530496875565</v>
      </c>
      <c r="W72" s="33">
        <v>90.897088916760168</v>
      </c>
    </row>
    <row r="73" spans="1:23">
      <c r="J73" s="16"/>
      <c r="K73" s="38">
        <f t="shared" si="9"/>
        <v>4.5339202799914192E-2</v>
      </c>
      <c r="L73" s="38">
        <f t="shared" si="10"/>
        <v>8.6636243196247978E-2</v>
      </c>
      <c r="M73" s="38">
        <f t="shared" si="11"/>
        <v>0.26737967278092017</v>
      </c>
      <c r="O73" s="32">
        <v>40421</v>
      </c>
      <c r="P73" s="33">
        <v>59.110000610351563</v>
      </c>
      <c r="Q73" s="33">
        <v>57.020000457763672</v>
      </c>
      <c r="R73" s="33">
        <v>5.6100001335144043</v>
      </c>
      <c r="T73" s="33">
        <f t="shared" si="6"/>
        <v>115.31409002313748</v>
      </c>
      <c r="U73" s="33">
        <f t="shared" si="7"/>
        <v>89.908549517562889</v>
      </c>
      <c r="V73" s="33">
        <f t="shared" si="8"/>
        <v>25.47683931376335</v>
      </c>
      <c r="W73" s="33">
        <v>86.584097960261388</v>
      </c>
    </row>
    <row r="74" spans="1:23">
      <c r="J74" s="16"/>
      <c r="K74" s="38">
        <f t="shared" si="9"/>
        <v>7.6064037523927513E-2</v>
      </c>
      <c r="L74" s="38">
        <f t="shared" si="10"/>
        <v>2.8728254039632712E-2</v>
      </c>
      <c r="M74" s="38">
        <f t="shared" si="11"/>
        <v>3.164555561285947E-2</v>
      </c>
      <c r="O74" s="32">
        <v>40451</v>
      </c>
      <c r="P74" s="33">
        <v>61.790000915527344</v>
      </c>
      <c r="Q74" s="33">
        <v>61.959999084472656</v>
      </c>
      <c r="R74" s="33">
        <v>7.1100001335144043</v>
      </c>
      <c r="T74" s="33">
        <f t="shared" si="6"/>
        <v>120.54233893638408</v>
      </c>
      <c r="U74" s="33">
        <f t="shared" si="7"/>
        <v>97.697888478988375</v>
      </c>
      <c r="V74" s="33">
        <f t="shared" si="8"/>
        <v>32.288828272969475</v>
      </c>
      <c r="W74" s="33">
        <v>94.164631328800581</v>
      </c>
    </row>
    <row r="75" spans="1:23">
      <c r="J75" s="16"/>
      <c r="K75" s="38">
        <f t="shared" si="9"/>
        <v>4.6172353639028538E-2</v>
      </c>
      <c r="L75" s="38">
        <f t="shared" si="10"/>
        <v>-3.435836811636131E-2</v>
      </c>
      <c r="M75" s="38">
        <f t="shared" si="11"/>
        <v>-6.1349796946031914E-3</v>
      </c>
      <c r="O75" s="32">
        <v>40480</v>
      </c>
      <c r="P75" s="33">
        <v>66.489997863769531</v>
      </c>
      <c r="Q75" s="33">
        <v>63.740001678466797</v>
      </c>
      <c r="R75" s="33">
        <v>7.3350000381469727</v>
      </c>
      <c r="T75" s="33">
        <f t="shared" si="6"/>
        <v>129.71127592846318</v>
      </c>
      <c r="U75" s="33">
        <f t="shared" si="7"/>
        <v>100.50457823834844</v>
      </c>
      <c r="V75" s="33">
        <f t="shared" si="8"/>
        <v>33.310626183755801</v>
      </c>
      <c r="W75" s="33">
        <v>97.635157436134392</v>
      </c>
    </row>
    <row r="76" spans="1:23">
      <c r="J76" s="16"/>
      <c r="K76" s="38">
        <f t="shared" si="9"/>
        <v>5.1178914792075959E-2</v>
      </c>
      <c r="L76" s="38">
        <f t="shared" si="10"/>
        <v>4.8740737738289207E-3</v>
      </c>
      <c r="M76" s="38">
        <f t="shared" si="11"/>
        <v>0.12208509574484647</v>
      </c>
      <c r="O76" s="32">
        <v>40512</v>
      </c>
      <c r="P76" s="33">
        <v>69.55999755859375</v>
      </c>
      <c r="Q76" s="33">
        <v>61.549999237060547</v>
      </c>
      <c r="R76" s="33">
        <v>7.2899999618530273</v>
      </c>
      <c r="T76" s="33">
        <f t="shared" si="6"/>
        <v>135.70035083160178</v>
      </c>
      <c r="U76" s="33">
        <f t="shared" si="7"/>
        <v>97.051404941855637</v>
      </c>
      <c r="V76" s="33">
        <f t="shared" si="8"/>
        <v>33.106266168503936</v>
      </c>
      <c r="W76" s="33">
        <v>97.411545316522535</v>
      </c>
    </row>
    <row r="77" spans="1:23">
      <c r="J77" s="16"/>
      <c r="K77" s="38">
        <f t="shared" si="9"/>
        <v>0.10339164762883081</v>
      </c>
      <c r="L77" s="38">
        <f t="shared" si="10"/>
        <v>-3.3629718151532734E-2</v>
      </c>
      <c r="M77" s="38">
        <f t="shared" si="11"/>
        <v>-4.2787331101719971E-2</v>
      </c>
      <c r="O77" s="32">
        <v>40543</v>
      </c>
      <c r="P77" s="33">
        <v>73.120002746582031</v>
      </c>
      <c r="Q77" s="33">
        <v>61.849998474121094</v>
      </c>
      <c r="R77" s="33">
        <v>8.1800003051757813</v>
      </c>
      <c r="T77" s="33">
        <f t="shared" si="6"/>
        <v>142.64534752406718</v>
      </c>
      <c r="U77" s="33">
        <f t="shared" si="7"/>
        <v>97.524440649395999</v>
      </c>
      <c r="V77" s="33">
        <f t="shared" si="8"/>
        <v>37.148047843440111</v>
      </c>
      <c r="W77" s="33">
        <v>103.77252623935574</v>
      </c>
    </row>
    <row r="78" spans="1:23">
      <c r="J78" s="16"/>
      <c r="K78" s="38">
        <f t="shared" si="9"/>
        <v>6.0114011598608741E-2</v>
      </c>
      <c r="L78" s="38">
        <f t="shared" si="10"/>
        <v>2.7940407497995801E-2</v>
      </c>
      <c r="M78" s="38">
        <f t="shared" si="11"/>
        <v>0.17624522706096574</v>
      </c>
      <c r="O78" s="32">
        <v>40574</v>
      </c>
      <c r="P78" s="33">
        <v>80.680000305175781</v>
      </c>
      <c r="Q78" s="33">
        <v>59.770000457763672</v>
      </c>
      <c r="R78" s="33">
        <v>7.8299999237060547</v>
      </c>
      <c r="T78" s="33">
        <f t="shared" si="6"/>
        <v>157.39368503116762</v>
      </c>
      <c r="U78" s="33">
        <f t="shared" si="7"/>
        <v>94.244721197470909</v>
      </c>
      <c r="V78" s="33">
        <f t="shared" si="8"/>
        <v>35.55858202058031</v>
      </c>
      <c r="W78" s="33">
        <v>106.12251633771204</v>
      </c>
    </row>
    <row r="79" spans="1:23">
      <c r="J79" s="16"/>
      <c r="K79" s="38">
        <f t="shared" si="9"/>
        <v>-1.6368543737402534E-2</v>
      </c>
      <c r="L79" s="38">
        <f t="shared" si="10"/>
        <v>-3.5644509694975089E-2</v>
      </c>
      <c r="M79" s="38">
        <f t="shared" si="11"/>
        <v>-6.6232318583136121E-2</v>
      </c>
      <c r="O79" s="32">
        <v>40602</v>
      </c>
      <c r="P79" s="33">
        <v>85.529998779296875</v>
      </c>
      <c r="Q79" s="33">
        <v>61.439998626708984</v>
      </c>
      <c r="R79" s="33">
        <v>9.2100000381469727</v>
      </c>
      <c r="T79" s="33">
        <f t="shared" si="6"/>
        <v>166.85525083867901</v>
      </c>
      <c r="U79" s="33">
        <f t="shared" si="7"/>
        <v>96.87795711226326</v>
      </c>
      <c r="V79" s="33">
        <f t="shared" si="8"/>
        <v>41.82561238276346</v>
      </c>
      <c r="W79" s="33">
        <v>109.51382929566307</v>
      </c>
    </row>
    <row r="80" spans="1:23">
      <c r="J80" s="16"/>
      <c r="K80" s="38">
        <f t="shared" si="9"/>
        <v>4.5762584443198827E-2</v>
      </c>
      <c r="L80" s="38">
        <f t="shared" si="10"/>
        <v>0.10919833283887131</v>
      </c>
      <c r="M80" s="38">
        <f t="shared" si="11"/>
        <v>5.8139532304828899E-2</v>
      </c>
      <c r="O80" s="32">
        <v>40633</v>
      </c>
      <c r="P80" s="33">
        <v>84.129997253417969</v>
      </c>
      <c r="Q80" s="33">
        <v>59.25</v>
      </c>
      <c r="R80" s="33">
        <v>8.6000003814697266</v>
      </c>
      <c r="T80" s="33">
        <f t="shared" si="6"/>
        <v>164.12407336751082</v>
      </c>
      <c r="U80" s="33">
        <f t="shared" si="7"/>
        <v>93.424789830745809</v>
      </c>
      <c r="V80" s="33">
        <f t="shared" si="8"/>
        <v>39.055405098493509</v>
      </c>
      <c r="W80" s="33">
        <v>109.39913525645255</v>
      </c>
    </row>
    <row r="81" spans="10:23">
      <c r="J81" s="16"/>
      <c r="K81" s="38">
        <f t="shared" si="9"/>
        <v>-5.1261672700027704E-2</v>
      </c>
      <c r="L81" s="38">
        <f t="shared" si="10"/>
        <v>2.3889221936435955E-2</v>
      </c>
      <c r="M81" s="38">
        <f t="shared" si="11"/>
        <v>-4.6153852603038219E-2</v>
      </c>
      <c r="O81" s="32">
        <v>40662</v>
      </c>
      <c r="P81" s="33">
        <v>87.980003356933594</v>
      </c>
      <c r="Q81" s="33">
        <v>65.720001220703125</v>
      </c>
      <c r="R81" s="33">
        <v>9.1000003814697266</v>
      </c>
      <c r="T81" s="33">
        <f t="shared" si="6"/>
        <v>171.63481513415329</v>
      </c>
      <c r="U81" s="33">
        <f t="shared" si="7"/>
        <v>103.62662112608518</v>
      </c>
      <c r="V81" s="33">
        <f t="shared" si="8"/>
        <v>41.326068084895553</v>
      </c>
      <c r="W81" s="33">
        <v>112.51650273945472</v>
      </c>
    </row>
    <row r="82" spans="10:23">
      <c r="J82" s="16"/>
      <c r="K82" s="38">
        <f t="shared" si="9"/>
        <v>-2.503898330801475E-2</v>
      </c>
      <c r="L82" s="38">
        <f t="shared" si="10"/>
        <v>-1.1443071213917267E-2</v>
      </c>
      <c r="M82" s="38">
        <f t="shared" si="11"/>
        <v>-0.19470051551149023</v>
      </c>
      <c r="O82" s="32">
        <v>40694</v>
      </c>
      <c r="P82" s="33">
        <v>83.470001220703125</v>
      </c>
      <c r="Q82" s="33">
        <v>67.290000915527344</v>
      </c>
      <c r="R82" s="33">
        <v>8.6800003051757813</v>
      </c>
      <c r="T82" s="33">
        <f t="shared" si="6"/>
        <v>162.83652741681655</v>
      </c>
      <c r="U82" s="33">
        <f t="shared" si="7"/>
        <v>106.1021804766892</v>
      </c>
      <c r="V82" s="33">
        <f t="shared" si="8"/>
        <v>39.418710829842155</v>
      </c>
      <c r="W82" s="33">
        <v>110.99742557264504</v>
      </c>
    </row>
    <row r="83" spans="10:23">
      <c r="J83" s="16"/>
      <c r="K83" s="38">
        <f t="shared" si="9"/>
        <v>-1.9537925676494722E-2</v>
      </c>
      <c r="L83" s="38">
        <f t="shared" si="10"/>
        <v>-2.6007152959160371E-2</v>
      </c>
      <c r="M83" s="38">
        <f t="shared" si="11"/>
        <v>5.0071586971416782E-2</v>
      </c>
      <c r="O83" s="32">
        <v>40724</v>
      </c>
      <c r="P83" s="33">
        <v>81.379997253417969</v>
      </c>
      <c r="Q83" s="33">
        <v>66.519996643066406</v>
      </c>
      <c r="R83" s="33">
        <v>6.9899997711181641</v>
      </c>
      <c r="T83" s="33">
        <f t="shared" si="6"/>
        <v>158.75926632489183</v>
      </c>
      <c r="U83" s="33">
        <f t="shared" si="7"/>
        <v>104.88804566954255</v>
      </c>
      <c r="V83" s="33">
        <f t="shared" si="8"/>
        <v>31.743867510473528</v>
      </c>
      <c r="W83" s="33">
        <v>108.97088916760181</v>
      </c>
    </row>
    <row r="84" spans="10:23">
      <c r="J84" s="16"/>
      <c r="K84" s="38">
        <f t="shared" si="9"/>
        <v>-7.2314879135915375E-2</v>
      </c>
      <c r="L84" s="38">
        <f t="shared" si="10"/>
        <v>1.5588858187350561E-2</v>
      </c>
      <c r="M84" s="38">
        <f t="shared" si="11"/>
        <v>-6.9482318566713289E-2</v>
      </c>
      <c r="O84" s="32">
        <v>40753</v>
      </c>
      <c r="P84" s="33">
        <v>79.790000915527344</v>
      </c>
      <c r="Q84" s="33">
        <v>64.790000915527344</v>
      </c>
      <c r="R84" s="33">
        <v>7.3400001525878906</v>
      </c>
      <c r="T84" s="33">
        <f t="shared" si="6"/>
        <v>155.65743957898124</v>
      </c>
      <c r="U84" s="33">
        <f t="shared" si="7"/>
        <v>102.16020622222734</v>
      </c>
      <c r="V84" s="33">
        <f t="shared" si="8"/>
        <v>33.333333333333329</v>
      </c>
      <c r="W84" s="33">
        <v>106.63080071291832</v>
      </c>
    </row>
    <row r="85" spans="10:23">
      <c r="J85" s="16"/>
      <c r="K85" s="38">
        <f t="shared" si="9"/>
        <v>-1.8778701063054445E-2</v>
      </c>
      <c r="L85" s="38">
        <f t="shared" si="10"/>
        <v>-3.2066935063652102E-2</v>
      </c>
      <c r="M85" s="38">
        <f t="shared" si="11"/>
        <v>-0.25622255044630005</v>
      </c>
      <c r="O85" s="32">
        <v>40786</v>
      </c>
      <c r="P85" s="33">
        <v>74.019996643066406</v>
      </c>
      <c r="Q85" s="33">
        <v>65.800003051757813</v>
      </c>
      <c r="R85" s="33">
        <v>6.8299999237060547</v>
      </c>
      <c r="T85" s="33">
        <f t="shared" si="6"/>
        <v>144.40109064922115</v>
      </c>
      <c r="U85" s="33">
        <f t="shared" si="7"/>
        <v>103.75276718941615</v>
      </c>
      <c r="V85" s="33">
        <f t="shared" si="8"/>
        <v>31.017256047776225</v>
      </c>
      <c r="W85" s="33">
        <v>100.57512046999801</v>
      </c>
    </row>
    <row r="86" spans="10:23">
      <c r="J86" s="16"/>
      <c r="K86" s="38">
        <f t="shared" si="9"/>
        <v>7.517553753199005E-2</v>
      </c>
      <c r="L86" s="38">
        <f t="shared" si="10"/>
        <v>1.099074859527319E-2</v>
      </c>
      <c r="M86" s="38">
        <f t="shared" si="11"/>
        <v>0.1476377974928878</v>
      </c>
      <c r="O86" s="32">
        <v>40816</v>
      </c>
      <c r="P86" s="33">
        <v>72.629997253417969</v>
      </c>
      <c r="Q86" s="33">
        <v>63.689998626708984</v>
      </c>
      <c r="R86" s="33">
        <v>5.0799999237060547</v>
      </c>
      <c r="T86" s="33">
        <f t="shared" si="6"/>
        <v>141.68942573474041</v>
      </c>
      <c r="U86" s="33">
        <f t="shared" si="7"/>
        <v>100.42573394127892</v>
      </c>
      <c r="V86" s="33">
        <f t="shared" si="8"/>
        <v>23.069935595369078</v>
      </c>
      <c r="W86" s="33">
        <v>93.357647369463322</v>
      </c>
    </row>
    <row r="87" spans="10:23">
      <c r="J87" s="16"/>
      <c r="K87" s="38">
        <f t="shared" si="9"/>
        <v>3.0093561451165814E-2</v>
      </c>
      <c r="L87" s="38">
        <f t="shared" si="10"/>
        <v>5.1250478984744292E-3</v>
      </c>
      <c r="M87" s="38">
        <f t="shared" si="11"/>
        <v>-2.4013699539913478E-2</v>
      </c>
      <c r="O87" s="32">
        <v>40847</v>
      </c>
      <c r="P87" s="33">
        <v>78.089996337890625</v>
      </c>
      <c r="Q87" s="33">
        <v>64.389999389648438</v>
      </c>
      <c r="R87" s="33">
        <v>5.8299999237060547</v>
      </c>
      <c r="T87" s="33">
        <f t="shared" si="6"/>
        <v>152.34100447694848</v>
      </c>
      <c r="U87" s="33">
        <f t="shared" si="7"/>
        <v>101.52948793552332</v>
      </c>
      <c r="V87" s="33">
        <f t="shared" si="8"/>
        <v>26.475930074972137</v>
      </c>
      <c r="W87" s="33">
        <v>103.41441679318764</v>
      </c>
    </row>
    <row r="88" spans="10:23">
      <c r="J88" s="16"/>
      <c r="K88" s="38">
        <f t="shared" si="9"/>
        <v>5.3704619141091821E-2</v>
      </c>
      <c r="L88" s="38">
        <f t="shared" si="10"/>
        <v>1.3288019068770644E-2</v>
      </c>
      <c r="M88" s="38">
        <f t="shared" si="11"/>
        <v>-5.0966600867608972E-2</v>
      </c>
      <c r="O88" s="32">
        <v>40877</v>
      </c>
      <c r="P88" s="33">
        <v>80.44000244140625</v>
      </c>
      <c r="Q88" s="33">
        <v>64.720001220703125</v>
      </c>
      <c r="R88" s="33">
        <v>5.690000057220459</v>
      </c>
      <c r="T88" s="33">
        <f t="shared" si="6"/>
        <v>156.92548785670789</v>
      </c>
      <c r="U88" s="33">
        <f t="shared" si="7"/>
        <v>102.04983142430046</v>
      </c>
      <c r="V88" s="33">
        <f t="shared" si="8"/>
        <v>25.840145045111999</v>
      </c>
      <c r="W88" s="33">
        <v>102.89127995247209</v>
      </c>
    </row>
    <row r="89" spans="10:23">
      <c r="J89" s="16"/>
      <c r="K89" s="38">
        <f t="shared" si="9"/>
        <v>-1.2034028394920709E-2</v>
      </c>
      <c r="L89" s="38">
        <f t="shared" si="10"/>
        <v>5.0320497383459784E-3</v>
      </c>
      <c r="M89" s="38">
        <f t="shared" si="11"/>
        <v>0.2425925777118722</v>
      </c>
      <c r="O89" s="32">
        <v>40907</v>
      </c>
      <c r="P89" s="33">
        <v>84.760002136230469</v>
      </c>
      <c r="Q89" s="33">
        <v>65.580001831054688</v>
      </c>
      <c r="R89" s="33">
        <v>5.4000000953674316</v>
      </c>
      <c r="T89" s="33">
        <f t="shared" si="6"/>
        <v>165.35311141558239</v>
      </c>
      <c r="U89" s="33">
        <f t="shared" si="7"/>
        <v>103.40587153023139</v>
      </c>
      <c r="V89" s="33">
        <f t="shared" si="8"/>
        <v>24.523160686236654</v>
      </c>
      <c r="W89" s="33">
        <v>103.76922569146474</v>
      </c>
    </row>
    <row r="90" spans="10:23">
      <c r="J90" s="16"/>
      <c r="K90" s="38">
        <f t="shared" si="9"/>
        <v>3.2959185653676684E-2</v>
      </c>
      <c r="L90" s="38">
        <f t="shared" si="10"/>
        <v>-1.2592956834135976E-2</v>
      </c>
      <c r="M90" s="38">
        <f t="shared" si="11"/>
        <v>9.538000936619033E-2</v>
      </c>
      <c r="O90" s="32">
        <v>40939</v>
      </c>
      <c r="P90" s="33">
        <v>83.739997863769531</v>
      </c>
      <c r="Q90" s="33">
        <v>65.910003662109375</v>
      </c>
      <c r="R90" s="33">
        <v>6.7100000381469727</v>
      </c>
      <c r="T90" s="33">
        <f t="shared" si="6"/>
        <v>163.36324737761879</v>
      </c>
      <c r="U90" s="33">
        <f t="shared" si="7"/>
        <v>103.92621501900851</v>
      </c>
      <c r="V90" s="33">
        <f t="shared" si="8"/>
        <v>30.472297450753246</v>
      </c>
      <c r="W90" s="33">
        <v>108.29180143903885</v>
      </c>
    </row>
    <row r="91" spans="10:23">
      <c r="J91" s="16"/>
      <c r="K91" s="38">
        <f t="shared" si="9"/>
        <v>2.6589983460531068E-3</v>
      </c>
      <c r="L91" s="38">
        <f t="shared" si="10"/>
        <v>1.3521776715716903E-2</v>
      </c>
      <c r="M91" s="38">
        <f t="shared" si="11"/>
        <v>9.1156539023737215E-2</v>
      </c>
      <c r="O91" s="32">
        <v>40968</v>
      </c>
      <c r="P91" s="33">
        <v>86.5</v>
      </c>
      <c r="Q91" s="33">
        <v>65.080001831054688</v>
      </c>
      <c r="R91" s="33">
        <v>7.3499999046325684</v>
      </c>
      <c r="T91" s="33">
        <f t="shared" si="6"/>
        <v>168.74756697692527</v>
      </c>
      <c r="U91" s="33">
        <f t="shared" si="7"/>
        <v>102.61747667933902</v>
      </c>
      <c r="V91" s="33">
        <f t="shared" si="8"/>
        <v>33.378745467015428</v>
      </c>
      <c r="W91" s="33">
        <v>112.68730609281137</v>
      </c>
    </row>
    <row r="92" spans="10:23">
      <c r="J92" s="16"/>
      <c r="K92" s="38">
        <f t="shared" si="9"/>
        <v>-4.4967946955785489E-3</v>
      </c>
      <c r="L92" s="38">
        <f t="shared" si="10"/>
        <v>-1.3038214407040696E-2</v>
      </c>
      <c r="M92" s="38">
        <f t="shared" si="11"/>
        <v>-8.2294300072060678E-2</v>
      </c>
      <c r="O92" s="32">
        <v>40998</v>
      </c>
      <c r="P92" s="33">
        <v>86.730003356933594</v>
      </c>
      <c r="Q92" s="33">
        <v>65.959999084472656</v>
      </c>
      <c r="R92" s="33">
        <v>8.0200004577636719</v>
      </c>
      <c r="T92" s="33">
        <f t="shared" si="6"/>
        <v>169.19626647841736</v>
      </c>
      <c r="U92" s="33">
        <f t="shared" si="7"/>
        <v>104.00504728612732</v>
      </c>
      <c r="V92" s="33">
        <f t="shared" si="8"/>
        <v>36.421436380742811</v>
      </c>
      <c r="W92" s="33">
        <v>116.218067199155</v>
      </c>
    </row>
    <row r="93" spans="10:23">
      <c r="J93" s="16"/>
      <c r="K93" s="38">
        <f t="shared" si="9"/>
        <v>-8.9298116880844658E-2</v>
      </c>
      <c r="L93" s="38">
        <f t="shared" si="10"/>
        <v>-4.1013797719314918E-2</v>
      </c>
      <c r="M93" s="38">
        <f t="shared" si="11"/>
        <v>-0.17391306882995242</v>
      </c>
      <c r="O93" s="32">
        <v>41029</v>
      </c>
      <c r="P93" s="33">
        <v>86.339996337890625</v>
      </c>
      <c r="Q93" s="33">
        <v>65.099998474121094</v>
      </c>
      <c r="R93" s="33">
        <v>7.3600001335144043</v>
      </c>
      <c r="T93" s="33">
        <f t="shared" si="6"/>
        <v>168.43542560480554</v>
      </c>
      <c r="U93" s="33">
        <f t="shared" si="7"/>
        <v>102.64900718019638</v>
      </c>
      <c r="V93" s="33">
        <f t="shared" si="8"/>
        <v>33.424159766170497</v>
      </c>
      <c r="W93" s="33">
        <v>115.34672255594424</v>
      </c>
    </row>
    <row r="94" spans="10:23">
      <c r="J94" s="16"/>
      <c r="K94" s="38">
        <f t="shared" si="9"/>
        <v>8.8261511939765142E-2</v>
      </c>
      <c r="L94" s="38">
        <f t="shared" si="10"/>
        <v>8.2171988280331065E-2</v>
      </c>
      <c r="M94" s="38">
        <f t="shared" si="11"/>
        <v>-5.7565774510606647E-2</v>
      </c>
      <c r="O94" s="32">
        <v>41060</v>
      </c>
      <c r="P94" s="33">
        <v>78.629997253417969</v>
      </c>
      <c r="Q94" s="33">
        <v>62.430000305175781</v>
      </c>
      <c r="R94" s="33">
        <v>6.0799999237060547</v>
      </c>
      <c r="T94" s="33">
        <f t="shared" si="6"/>
        <v>153.39445928227281</v>
      </c>
      <c r="U94" s="33">
        <f t="shared" si="7"/>
        <v>98.438981563619308</v>
      </c>
      <c r="V94" s="33">
        <f t="shared" si="8"/>
        <v>27.611261568173163</v>
      </c>
      <c r="W94" s="33">
        <v>108.12017294870942</v>
      </c>
    </row>
    <row r="95" spans="10:23">
      <c r="J95" s="16"/>
      <c r="K95" s="38">
        <f t="shared" si="9"/>
        <v>1.4958499285518834E-2</v>
      </c>
      <c r="L95" s="38">
        <f t="shared" si="10"/>
        <v>2.4570807017417064E-2</v>
      </c>
      <c r="M95" s="38">
        <f t="shared" si="11"/>
        <v>-0.29144852892408479</v>
      </c>
      <c r="O95" s="32">
        <v>41089</v>
      </c>
      <c r="P95" s="33">
        <v>85.569999694824219</v>
      </c>
      <c r="Q95" s="33">
        <v>67.55999755859375</v>
      </c>
      <c r="R95" s="33">
        <v>5.7300000190734863</v>
      </c>
      <c r="T95" s="33">
        <f t="shared" si="6"/>
        <v>166.93328618170892</v>
      </c>
      <c r="U95" s="33">
        <f t="shared" si="7"/>
        <v>106.52790840299275</v>
      </c>
      <c r="V95" s="33">
        <f t="shared" si="8"/>
        <v>26.021797910786326</v>
      </c>
      <c r="W95" s="33">
        <v>112.39685787840776</v>
      </c>
    </row>
    <row r="96" spans="10:23">
      <c r="J96" s="16"/>
      <c r="K96" s="38">
        <f t="shared" si="9"/>
        <v>5.1813999486805713E-3</v>
      </c>
      <c r="L96" s="38">
        <f t="shared" si="10"/>
        <v>-2.585959092690639E-2</v>
      </c>
      <c r="M96" s="38">
        <f t="shared" si="11"/>
        <v>-8.3743822404229423E-2</v>
      </c>
      <c r="O96" s="32">
        <v>41121</v>
      </c>
      <c r="P96" s="33">
        <v>86.849998474121094</v>
      </c>
      <c r="Q96" s="33">
        <v>69.220001220703125</v>
      </c>
      <c r="R96" s="33">
        <v>4.059999942779541</v>
      </c>
      <c r="T96" s="33">
        <f t="shared" si="6"/>
        <v>169.43035762378733</v>
      </c>
      <c r="U96" s="33">
        <f t="shared" si="7"/>
        <v>109.14538508233179</v>
      </c>
      <c r="V96" s="33">
        <f t="shared" si="8"/>
        <v>18.437783189727828</v>
      </c>
      <c r="W96" s="33">
        <v>113.81279292362525</v>
      </c>
    </row>
    <row r="97" spans="10:23">
      <c r="J97" s="16"/>
      <c r="K97" s="38">
        <f t="shared" si="9"/>
        <v>4.7537156373568E-2</v>
      </c>
      <c r="L97" s="38">
        <f t="shared" si="10"/>
        <v>2.1948737212448031E-2</v>
      </c>
      <c r="M97" s="38">
        <f t="shared" si="11"/>
        <v>-9.4086059236377348E-2</v>
      </c>
      <c r="O97" s="32">
        <v>41152</v>
      </c>
      <c r="P97" s="33">
        <v>87.300003051757813</v>
      </c>
      <c r="Q97" s="33">
        <v>67.430000305175781</v>
      </c>
      <c r="R97" s="33">
        <v>3.7200000286102295</v>
      </c>
      <c r="T97" s="33">
        <f t="shared" si="6"/>
        <v>170.30824407008416</v>
      </c>
      <c r="U97" s="33">
        <f t="shared" si="7"/>
        <v>106.32293007254302</v>
      </c>
      <c r="V97" s="33">
        <f t="shared" si="8"/>
        <v>16.893732748759575</v>
      </c>
      <c r="W97" s="33">
        <v>116.06211631130759</v>
      </c>
    </row>
    <row r="98" spans="10:23">
      <c r="J98" s="16"/>
      <c r="K98" s="38">
        <f t="shared" si="9"/>
        <v>-3.0617691486129351E-3</v>
      </c>
      <c r="L98" s="38">
        <f t="shared" si="10"/>
        <v>2.7717253391543031E-2</v>
      </c>
      <c r="M98" s="38">
        <f t="shared" si="11"/>
        <v>-0.39169138815083676</v>
      </c>
      <c r="O98" s="32">
        <v>41180</v>
      </c>
      <c r="P98" s="33">
        <v>91.449996948242188</v>
      </c>
      <c r="Q98" s="33">
        <v>68.910003662109375</v>
      </c>
      <c r="R98" s="33">
        <v>3.369999885559082</v>
      </c>
      <c r="T98" s="33">
        <f t="shared" si="6"/>
        <v>178.40421370015153</v>
      </c>
      <c r="U98" s="33">
        <f t="shared" si="7"/>
        <v>108.65658412436274</v>
      </c>
      <c r="V98" s="33">
        <f t="shared" si="8"/>
        <v>15.304268008636251</v>
      </c>
      <c r="W98" s="33">
        <v>118.87500825136966</v>
      </c>
    </row>
    <row r="99" spans="10:23">
      <c r="J99" s="16"/>
      <c r="K99" s="38">
        <f t="shared" si="9"/>
        <v>-3.3234603928389297E-2</v>
      </c>
      <c r="L99" s="38">
        <f t="shared" si="10"/>
        <v>-1.5391080804682437E-2</v>
      </c>
      <c r="M99" s="38">
        <f t="shared" si="11"/>
        <v>7.3170779929993324E-2</v>
      </c>
      <c r="O99" s="32">
        <v>41213</v>
      </c>
      <c r="P99" s="33">
        <v>91.169998168945313</v>
      </c>
      <c r="Q99" s="33">
        <v>70.819999694824219</v>
      </c>
      <c r="R99" s="33">
        <v>2.0499999523162842</v>
      </c>
      <c r="T99" s="33">
        <f t="shared" si="6"/>
        <v>177.85798118266186</v>
      </c>
      <c r="U99" s="33">
        <f t="shared" si="7"/>
        <v>111.66824619919721</v>
      </c>
      <c r="V99" s="33">
        <f t="shared" si="8"/>
        <v>9.3097180277010771</v>
      </c>
      <c r="W99" s="33">
        <v>116.52254274209513</v>
      </c>
    </row>
    <row r="100" spans="10:23">
      <c r="J100" s="16"/>
      <c r="K100" s="38">
        <f t="shared" si="9"/>
        <v>-1.8039441217393079E-2</v>
      </c>
      <c r="L100" s="38">
        <f t="shared" si="10"/>
        <v>5.3061107037894557E-3</v>
      </c>
      <c r="M100" s="38">
        <f t="shared" si="11"/>
        <v>9.090911061310529E-2</v>
      </c>
      <c r="O100" s="32">
        <v>41243</v>
      </c>
      <c r="P100" s="33">
        <v>88.139999389648438</v>
      </c>
      <c r="Q100" s="33">
        <v>69.730003356933594</v>
      </c>
      <c r="R100" s="33">
        <v>2.2000000476837158</v>
      </c>
      <c r="T100" s="33">
        <f t="shared" si="6"/>
        <v>171.94694162255317</v>
      </c>
      <c r="U100" s="33">
        <f t="shared" si="7"/>
        <v>109.9495511986282</v>
      </c>
      <c r="V100" s="33">
        <f t="shared" si="8"/>
        <v>9.9909173567162828</v>
      </c>
      <c r="W100" s="33">
        <v>116.8542478051356</v>
      </c>
    </row>
    <row r="101" spans="10:23">
      <c r="J101" s="16"/>
      <c r="K101" s="38">
        <f t="shared" si="9"/>
        <v>3.9514708819826584E-2</v>
      </c>
      <c r="L101" s="38">
        <f t="shared" si="10"/>
        <v>5.4493577431880443E-2</v>
      </c>
      <c r="M101" s="38">
        <f t="shared" si="11"/>
        <v>8.3333250549107771E-2</v>
      </c>
      <c r="O101" s="32">
        <v>41274</v>
      </c>
      <c r="P101" s="33">
        <v>86.550003051757813</v>
      </c>
      <c r="Q101" s="33">
        <v>70.099998474121094</v>
      </c>
      <c r="R101" s="33">
        <v>2.4000000953674316</v>
      </c>
      <c r="T101" s="33">
        <f t="shared" si="6"/>
        <v>168.84511487664261</v>
      </c>
      <c r="U101" s="33">
        <f t="shared" si="7"/>
        <v>110.53295568912009</v>
      </c>
      <c r="V101" s="33">
        <f t="shared" si="8"/>
        <v>10.899182767824398</v>
      </c>
      <c r="W101" s="33">
        <v>117.6802099148458</v>
      </c>
    </row>
    <row r="102" spans="10:23">
      <c r="J102" s="16"/>
      <c r="K102" s="38">
        <f t="shared" si="9"/>
        <v>-4.6682023257399504E-3</v>
      </c>
      <c r="L102" s="38">
        <f t="shared" si="10"/>
        <v>2.9626657138180187E-2</v>
      </c>
      <c r="M102" s="38">
        <f t="shared" si="11"/>
        <v>-4.2307653511768246E-2</v>
      </c>
      <c r="O102" s="32">
        <v>41305</v>
      </c>
      <c r="P102" s="33">
        <v>89.970001220703125</v>
      </c>
      <c r="Q102" s="33">
        <v>73.919998168945313</v>
      </c>
      <c r="R102" s="33">
        <v>2.5999999046325684</v>
      </c>
      <c r="T102" s="33">
        <f t="shared" si="6"/>
        <v>175.51698042664333</v>
      </c>
      <c r="U102" s="33">
        <f t="shared" si="7"/>
        <v>116.55629186873978</v>
      </c>
      <c r="V102" s="33">
        <f t="shared" si="8"/>
        <v>11.807447096196027</v>
      </c>
      <c r="W102" s="33">
        <v>123.61459502277371</v>
      </c>
    </row>
    <row r="103" spans="10:23">
      <c r="J103" s="16"/>
      <c r="K103" s="38">
        <f t="shared" si="9"/>
        <v>6.2534621944131535E-3</v>
      </c>
      <c r="L103" s="38">
        <f t="shared" si="10"/>
        <v>7.1212693804763277E-2</v>
      </c>
      <c r="M103" s="38">
        <f t="shared" si="11"/>
        <v>2.409636246977518E-2</v>
      </c>
      <c r="O103" s="32">
        <v>41333</v>
      </c>
      <c r="P103" s="33">
        <v>89.550003051757813</v>
      </c>
      <c r="Q103" s="33">
        <v>76.110000610351563</v>
      </c>
      <c r="R103" s="33">
        <v>2.4900000095367432</v>
      </c>
      <c r="T103" s="33">
        <f t="shared" si="6"/>
        <v>174.69763165040882</v>
      </c>
      <c r="U103" s="33">
        <f t="shared" si="7"/>
        <v>120.00946516523258</v>
      </c>
      <c r="V103" s="33">
        <f t="shared" si="8"/>
        <v>11.307901715591631</v>
      </c>
      <c r="W103" s="33">
        <v>124.98184698659972</v>
      </c>
    </row>
    <row r="104" spans="10:23">
      <c r="J104" s="16"/>
      <c r="K104" s="38">
        <f t="shared" si="9"/>
        <v>-1.2429283531192971E-2</v>
      </c>
      <c r="L104" s="38">
        <f t="shared" si="10"/>
        <v>4.5382124776583099E-2</v>
      </c>
      <c r="M104" s="38">
        <f t="shared" si="11"/>
        <v>0.10588234744132448</v>
      </c>
      <c r="O104" s="32">
        <v>41361</v>
      </c>
      <c r="P104" s="33">
        <v>90.110000610351563</v>
      </c>
      <c r="Q104" s="33">
        <v>81.529998779296875</v>
      </c>
      <c r="R104" s="33">
        <v>2.5499999523162842</v>
      </c>
      <c r="T104" s="33">
        <f t="shared" si="6"/>
        <v>175.79009668538816</v>
      </c>
      <c r="U104" s="33">
        <f t="shared" si="7"/>
        <v>128.55566246171767</v>
      </c>
      <c r="V104" s="33">
        <f t="shared" si="8"/>
        <v>11.58038101410312</v>
      </c>
      <c r="W104" s="33">
        <v>129.47966862499169</v>
      </c>
    </row>
    <row r="105" spans="10:23">
      <c r="J105" s="16"/>
      <c r="K105" s="38">
        <f t="shared" si="9"/>
        <v>1.6631120265889421E-2</v>
      </c>
      <c r="L105" s="38">
        <f t="shared" si="10"/>
        <v>-1.2319641093530394E-2</v>
      </c>
      <c r="M105" s="38">
        <f t="shared" si="11"/>
        <v>0.41843974989045002</v>
      </c>
      <c r="O105" s="32">
        <v>41394</v>
      </c>
      <c r="P105" s="33">
        <v>88.989997863769531</v>
      </c>
      <c r="Q105" s="33">
        <v>85.230003356933594</v>
      </c>
      <c r="R105" s="33">
        <v>2.8199999332427979</v>
      </c>
      <c r="T105" s="33">
        <f t="shared" si="6"/>
        <v>173.60515173170964</v>
      </c>
      <c r="U105" s="33">
        <f t="shared" si="7"/>
        <v>134.38979157629169</v>
      </c>
      <c r="V105" s="33">
        <f t="shared" si="8"/>
        <v>12.806538940141305</v>
      </c>
      <c r="W105" s="33">
        <v>131.82140735362063</v>
      </c>
    </row>
    <row r="106" spans="10:23">
      <c r="J106" s="16"/>
      <c r="K106" s="38">
        <f t="shared" si="9"/>
        <v>-1.3264368847446181E-3</v>
      </c>
      <c r="L106" s="38">
        <f t="shared" si="10"/>
        <v>1.9957238050431404E-2</v>
      </c>
      <c r="M106" s="38">
        <f t="shared" si="11"/>
        <v>1.9999980926513672E-2</v>
      </c>
      <c r="O106" s="32">
        <v>41425</v>
      </c>
      <c r="P106" s="33">
        <v>90.470001220703125</v>
      </c>
      <c r="Q106" s="33">
        <v>84.180000305175781</v>
      </c>
      <c r="R106" s="33">
        <v>4</v>
      </c>
      <c r="T106" s="33">
        <f t="shared" si="6"/>
        <v>176.49239988893768</v>
      </c>
      <c r="U106" s="33">
        <f t="shared" si="7"/>
        <v>132.73415757743737</v>
      </c>
      <c r="V106" s="33">
        <f t="shared" si="8"/>
        <v>18.16530389121634</v>
      </c>
      <c r="W106" s="33">
        <v>134.55838669219085</v>
      </c>
    </row>
    <row r="107" spans="10:23">
      <c r="J107" s="16"/>
      <c r="K107" s="38">
        <f t="shared" si="9"/>
        <v>3.7631450838958976E-2</v>
      </c>
      <c r="L107" s="38">
        <f t="shared" si="10"/>
        <v>8.8982056083602379E-2</v>
      </c>
      <c r="M107" s="38">
        <f t="shared" si="11"/>
        <v>-7.5980379553035285E-2</v>
      </c>
      <c r="O107" s="32">
        <v>41453</v>
      </c>
      <c r="P107" s="33">
        <v>90.349998474121094</v>
      </c>
      <c r="Q107" s="33">
        <v>85.860000610351563</v>
      </c>
      <c r="R107" s="33">
        <v>4.0799999237060547</v>
      </c>
      <c r="T107" s="33">
        <f t="shared" si="6"/>
        <v>176.2582938598479</v>
      </c>
      <c r="U107" s="33">
        <f t="shared" si="7"/>
        <v>135.38316475763378</v>
      </c>
      <c r="V107" s="33">
        <f t="shared" si="8"/>
        <v>18.528609622564989</v>
      </c>
      <c r="W107" s="33">
        <v>132.54010165687498</v>
      </c>
    </row>
    <row r="108" spans="10:23">
      <c r="J108" s="16"/>
      <c r="K108" s="38">
        <f t="shared" si="9"/>
        <v>-7.0293294270833334E-2</v>
      </c>
      <c r="L108" s="38">
        <f t="shared" si="10"/>
        <v>-7.5828837838402413E-2</v>
      </c>
      <c r="M108" s="38">
        <f t="shared" si="11"/>
        <v>-0.13262599536595229</v>
      </c>
      <c r="O108" s="32">
        <v>41486</v>
      </c>
      <c r="P108" s="33">
        <v>93.75</v>
      </c>
      <c r="Q108" s="33">
        <v>93.5</v>
      </c>
      <c r="R108" s="33">
        <v>3.7699999809265137</v>
      </c>
      <c r="T108" s="33">
        <f t="shared" si="6"/>
        <v>182.89114918019357</v>
      </c>
      <c r="U108" s="33">
        <f t="shared" si="7"/>
        <v>147.42983711687313</v>
      </c>
      <c r="V108" s="33">
        <f t="shared" si="8"/>
        <v>17.120798830852483</v>
      </c>
      <c r="W108" s="33">
        <v>139.09581490527424</v>
      </c>
    </row>
    <row r="109" spans="10:23">
      <c r="J109" s="16"/>
      <c r="K109" s="38">
        <f t="shared" si="9"/>
        <v>-1.2849962133135205E-2</v>
      </c>
      <c r="L109" s="38">
        <f t="shared" si="10"/>
        <v>3.2403514342130963E-3</v>
      </c>
      <c r="M109" s="38">
        <f t="shared" si="11"/>
        <v>0.16513760397638447</v>
      </c>
      <c r="O109" s="32">
        <v>41516</v>
      </c>
      <c r="P109" s="33">
        <v>87.160003662109375</v>
      </c>
      <c r="Q109" s="33">
        <v>86.410003662109375</v>
      </c>
      <c r="R109" s="33">
        <v>3.2699999809265137</v>
      </c>
      <c r="T109" s="33">
        <f t="shared" si="6"/>
        <v>170.03512781133932</v>
      </c>
      <c r="U109" s="33">
        <f t="shared" si="7"/>
        <v>136.25040390559568</v>
      </c>
      <c r="V109" s="33">
        <f t="shared" si="8"/>
        <v>14.850135844450438</v>
      </c>
      <c r="W109" s="33">
        <v>134.74239223711132</v>
      </c>
    </row>
    <row r="110" spans="10:23">
      <c r="J110" s="16"/>
      <c r="K110" s="38">
        <f t="shared" si="9"/>
        <v>4.1608574999545553E-2</v>
      </c>
      <c r="L110" s="38">
        <f t="shared" si="10"/>
        <v>6.8289283680048773E-2</v>
      </c>
      <c r="M110" s="38">
        <f t="shared" si="11"/>
        <v>-0.12335958941441517</v>
      </c>
      <c r="O110" s="32">
        <v>41547</v>
      </c>
      <c r="P110" s="33">
        <v>86.040000915527344</v>
      </c>
      <c r="Q110" s="33">
        <v>86.69000244140625</v>
      </c>
      <c r="R110" s="33">
        <v>3.809999942779541</v>
      </c>
      <c r="T110" s="33">
        <f t="shared" si="6"/>
        <v>167.8501828576608</v>
      </c>
      <c r="U110" s="33">
        <f t="shared" si="7"/>
        <v>136.69190309730331</v>
      </c>
      <c r="V110" s="33">
        <f t="shared" si="8"/>
        <v>17.302451696526809</v>
      </c>
      <c r="W110" s="33">
        <v>138.75090765066997</v>
      </c>
    </row>
    <row r="111" spans="10:23">
      <c r="J111" s="16"/>
      <c r="K111" s="38">
        <f t="shared" si="9"/>
        <v>4.3070748628143474E-2</v>
      </c>
      <c r="L111" s="38">
        <f t="shared" si="10"/>
        <v>2.2135871269270586E-2</v>
      </c>
      <c r="M111" s="38">
        <f t="shared" si="11"/>
        <v>8.9820418695871748E-2</v>
      </c>
      <c r="O111" s="32">
        <v>41578</v>
      </c>
      <c r="P111" s="33">
        <v>89.620002746582031</v>
      </c>
      <c r="Q111" s="33">
        <v>92.610000610351563</v>
      </c>
      <c r="R111" s="33">
        <v>3.3399999141693115</v>
      </c>
      <c r="T111" s="33">
        <f t="shared" si="6"/>
        <v>174.83418977978121</v>
      </c>
      <c r="U111" s="33">
        <f t="shared" si="7"/>
        <v>146.02649524468077</v>
      </c>
      <c r="V111" s="33">
        <f t="shared" si="8"/>
        <v>15.168028359380509</v>
      </c>
      <c r="W111" s="33">
        <v>144.9386098092283</v>
      </c>
    </row>
    <row r="112" spans="10:23">
      <c r="J112" s="16"/>
      <c r="K112" s="38">
        <f t="shared" si="9"/>
        <v>8.2584438533142041E-2</v>
      </c>
      <c r="L112" s="38">
        <f t="shared" si="10"/>
        <v>-3.2431937517953174E-2</v>
      </c>
      <c r="M112" s="38">
        <f t="shared" si="11"/>
        <v>6.3186751106140998E-2</v>
      </c>
      <c r="O112" s="32">
        <v>41607</v>
      </c>
      <c r="P112" s="33">
        <v>93.480003356933594</v>
      </c>
      <c r="Q112" s="33">
        <v>94.660003662109375</v>
      </c>
      <c r="R112" s="33">
        <v>3.6400001049041748</v>
      </c>
      <c r="T112" s="33">
        <f t="shared" si="6"/>
        <v>182.3644292193913</v>
      </c>
      <c r="U112" s="33">
        <f t="shared" si="7"/>
        <v>149.25891894531978</v>
      </c>
      <c r="V112" s="33">
        <f t="shared" si="8"/>
        <v>16.530427017410922</v>
      </c>
      <c r="W112" s="33">
        <v>149.00405967390583</v>
      </c>
    </row>
    <row r="113" spans="10:23">
      <c r="J113" s="16"/>
      <c r="K113" s="38">
        <f t="shared" si="9"/>
        <v>-8.9327999592294788E-2</v>
      </c>
      <c r="L113" s="38">
        <f t="shared" si="10"/>
        <v>-3.4064802292133767E-2</v>
      </c>
      <c r="M113" s="38">
        <f t="shared" si="11"/>
        <v>-0.11369504698016678</v>
      </c>
      <c r="O113" s="32">
        <v>41639</v>
      </c>
      <c r="P113" s="33">
        <v>101.19999694824219</v>
      </c>
      <c r="Q113" s="33">
        <v>91.589996337890625</v>
      </c>
      <c r="R113" s="33">
        <v>3.869999885559082</v>
      </c>
      <c r="T113" s="33">
        <f t="shared" si="6"/>
        <v>197.42489321489168</v>
      </c>
      <c r="U113" s="33">
        <f t="shared" si="7"/>
        <v>144.41816301208794</v>
      </c>
      <c r="V113" s="33">
        <f t="shared" si="8"/>
        <v>17.574930995038297</v>
      </c>
      <c r="W113" s="33">
        <v>152.51501749290375</v>
      </c>
    </row>
    <row r="114" spans="10:23">
      <c r="J114" s="16"/>
      <c r="K114" s="38">
        <f t="shared" si="9"/>
        <v>4.4596276233079317E-2</v>
      </c>
      <c r="L114" s="38">
        <f t="shared" si="10"/>
        <v>4.1256939928975139E-2</v>
      </c>
      <c r="M114" s="38">
        <f t="shared" si="11"/>
        <v>8.1632643131254706E-2</v>
      </c>
      <c r="O114" s="32">
        <v>41670</v>
      </c>
      <c r="P114" s="33">
        <v>92.160003662109375</v>
      </c>
      <c r="Q114" s="33">
        <v>88.470001220703125</v>
      </c>
      <c r="R114" s="33">
        <v>3.4300000667572021</v>
      </c>
      <c r="T114" s="33">
        <f t="shared" si="6"/>
        <v>179.78932243428298</v>
      </c>
      <c r="U114" s="33">
        <f t="shared" si="7"/>
        <v>139.49858684168802</v>
      </c>
      <c r="V114" s="33">
        <f t="shared" si="8"/>
        <v>15.576748389884226</v>
      </c>
      <c r="W114" s="33">
        <v>147.08809162320938</v>
      </c>
    </row>
    <row r="115" spans="10:23">
      <c r="J115" s="16"/>
      <c r="K115" s="38">
        <f t="shared" si="9"/>
        <v>1.4646345811531996E-2</v>
      </c>
      <c r="L115" s="38">
        <f t="shared" si="10"/>
        <v>6.6326535260315816E-2</v>
      </c>
      <c r="M115" s="38">
        <f t="shared" si="11"/>
        <v>8.0862584272291232E-2</v>
      </c>
      <c r="O115" s="32">
        <v>41698</v>
      </c>
      <c r="P115" s="33">
        <v>96.269996643066406</v>
      </c>
      <c r="Q115" s="33">
        <v>92.120002746582031</v>
      </c>
      <c r="R115" s="33">
        <v>3.7100000381469727</v>
      </c>
      <c r="T115" s="33">
        <f t="shared" si="6"/>
        <v>187.80725672132044</v>
      </c>
      <c r="U115" s="33">
        <f t="shared" si="7"/>
        <v>145.25387165919247</v>
      </c>
      <c r="V115" s="33">
        <f t="shared" si="8"/>
        <v>16.848319532340991</v>
      </c>
      <c r="W115" s="33">
        <v>153.43009439566961</v>
      </c>
    </row>
    <row r="116" spans="10:23">
      <c r="J116" s="16"/>
      <c r="K116" s="38">
        <f t="shared" si="9"/>
        <v>4.8423457638778943E-2</v>
      </c>
      <c r="L116" s="38">
        <f t="shared" si="10"/>
        <v>3.1151353497106026E-2</v>
      </c>
      <c r="M116" s="38">
        <f t="shared" si="11"/>
        <v>1.9950104523650408E-2</v>
      </c>
      <c r="O116" s="32">
        <v>41729</v>
      </c>
      <c r="P116" s="33">
        <v>97.680000305175781</v>
      </c>
      <c r="Q116" s="33">
        <v>98.230003356933594</v>
      </c>
      <c r="R116" s="33">
        <v>4.0100002288818359</v>
      </c>
      <c r="T116" s="33">
        <f t="shared" si="6"/>
        <v>190.55794674917607</v>
      </c>
      <c r="U116" s="33">
        <f t="shared" si="7"/>
        <v>154.88805769949329</v>
      </c>
      <c r="V116" s="33">
        <f t="shared" si="8"/>
        <v>18.210718190371406</v>
      </c>
      <c r="W116" s="33">
        <v>154.4936959535282</v>
      </c>
    </row>
    <row r="117" spans="10:23">
      <c r="J117" s="16"/>
      <c r="K117" s="38">
        <f t="shared" si="9"/>
        <v>-1.835762928996049E-2</v>
      </c>
      <c r="L117" s="38">
        <f t="shared" si="10"/>
        <v>1.6783312015870707E-3</v>
      </c>
      <c r="M117" s="38">
        <f t="shared" si="11"/>
        <v>-2.200492646215289E-2</v>
      </c>
      <c r="O117" s="32">
        <v>41759</v>
      </c>
      <c r="P117" s="33">
        <v>102.41000366210938</v>
      </c>
      <c r="Q117" s="33">
        <v>101.29000091552734</v>
      </c>
      <c r="R117" s="33">
        <v>4.0900001525878906</v>
      </c>
      <c r="T117" s="33">
        <f t="shared" si="6"/>
        <v>199.78542141131749</v>
      </c>
      <c r="U117" s="33">
        <f t="shared" si="7"/>
        <v>159.71303033737036</v>
      </c>
      <c r="V117" s="33">
        <f t="shared" si="8"/>
        <v>18.574023921720055</v>
      </c>
      <c r="W117" s="33">
        <v>155.45167997887643</v>
      </c>
    </row>
    <row r="118" spans="10:23">
      <c r="J118" s="16"/>
      <c r="K118" s="38">
        <f t="shared" si="9"/>
        <v>1.4921071093238441E-3</v>
      </c>
      <c r="L118" s="38">
        <f t="shared" si="10"/>
        <v>3.1145315302816508E-2</v>
      </c>
      <c r="M118" s="38">
        <f t="shared" si="11"/>
        <v>4.7500014305114746E-2</v>
      </c>
      <c r="O118" s="32">
        <v>41789</v>
      </c>
      <c r="P118" s="33">
        <v>100.52999877929688</v>
      </c>
      <c r="Q118" s="33">
        <v>101.45999908447266</v>
      </c>
      <c r="R118" s="33">
        <v>4</v>
      </c>
      <c r="T118" s="33">
        <f t="shared" si="6"/>
        <v>196.11783470750999</v>
      </c>
      <c r="U118" s="33">
        <f t="shared" si="7"/>
        <v>159.98108169948557</v>
      </c>
      <c r="V118" s="33">
        <f t="shared" si="8"/>
        <v>18.16530389121634</v>
      </c>
      <c r="W118" s="33">
        <v>158.72087266486227</v>
      </c>
    </row>
    <row r="119" spans="10:23">
      <c r="J119" s="16"/>
      <c r="K119" s="38">
        <f t="shared" si="9"/>
        <v>-1.728245787142773E-2</v>
      </c>
      <c r="L119" s="38">
        <f t="shared" si="10"/>
        <v>-4.3299620433621171E-2</v>
      </c>
      <c r="M119" s="38">
        <f t="shared" si="11"/>
        <v>-6.6825767915505818E-2</v>
      </c>
      <c r="O119" s="32">
        <v>41820</v>
      </c>
      <c r="P119" s="33">
        <v>100.68000030517578</v>
      </c>
      <c r="Q119" s="33">
        <v>104.62000274658203</v>
      </c>
      <c r="R119" s="33">
        <v>4.190000057220459</v>
      </c>
      <c r="T119" s="33">
        <f t="shared" si="6"/>
        <v>196.41046352294225</v>
      </c>
      <c r="U119" s="33">
        <f t="shared" si="7"/>
        <v>164.96374293150171</v>
      </c>
      <c r="V119" s="33">
        <f t="shared" si="8"/>
        <v>19.028156085905874</v>
      </c>
      <c r="W119" s="33">
        <v>161.74582480691785</v>
      </c>
    </row>
    <row r="120" spans="10:23">
      <c r="J120" s="16"/>
      <c r="K120" s="38">
        <f t="shared" si="9"/>
        <v>5.2556764729650785E-3</v>
      </c>
      <c r="L120" s="38">
        <f t="shared" si="10"/>
        <v>3.6367340915417615E-2</v>
      </c>
      <c r="M120" s="38">
        <f t="shared" si="11"/>
        <v>6.6496159784103753E-2</v>
      </c>
      <c r="O120" s="32">
        <v>41851</v>
      </c>
      <c r="P120" s="33">
        <v>98.94000244140625</v>
      </c>
      <c r="Q120" s="33">
        <v>100.08999633789063</v>
      </c>
      <c r="R120" s="33">
        <v>3.9100000858306885</v>
      </c>
      <c r="T120" s="33">
        <f t="shared" si="6"/>
        <v>193.0160079615994</v>
      </c>
      <c r="U120" s="33">
        <f t="shared" si="7"/>
        <v>157.82087547725823</v>
      </c>
      <c r="V120" s="33">
        <f t="shared" si="8"/>
        <v>17.756584943449106</v>
      </c>
      <c r="W120" s="33">
        <v>159.30671991550588</v>
      </c>
    </row>
    <row r="121" spans="10:23">
      <c r="J121" s="16"/>
      <c r="K121" s="38">
        <f t="shared" si="9"/>
        <v>-5.4393686733498404E-2</v>
      </c>
      <c r="L121" s="38">
        <f t="shared" si="10"/>
        <v>2.7571511504880922E-2</v>
      </c>
      <c r="M121" s="38">
        <f t="shared" si="11"/>
        <v>-0.18225419102119078</v>
      </c>
      <c r="O121" s="32">
        <v>41880</v>
      </c>
      <c r="P121" s="33">
        <v>99.459999084472656</v>
      </c>
      <c r="Q121" s="33">
        <v>103.73000335693359</v>
      </c>
      <c r="R121" s="33">
        <v>4.1700000762939453</v>
      </c>
      <c r="T121" s="33">
        <f t="shared" si="6"/>
        <v>194.0304376535488</v>
      </c>
      <c r="U121" s="33">
        <f t="shared" si="7"/>
        <v>163.56040105930933</v>
      </c>
      <c r="V121" s="33">
        <f t="shared" si="8"/>
        <v>18.937329653068709</v>
      </c>
      <c r="W121" s="33">
        <v>165.30546570730729</v>
      </c>
    </row>
    <row r="122" spans="10:23">
      <c r="J122" s="16"/>
      <c r="K122" s="38">
        <f t="shared" si="9"/>
        <v>2.8282785182377812E-2</v>
      </c>
      <c r="L122" s="38">
        <f t="shared" si="10"/>
        <v>1.1164297610386799E-2</v>
      </c>
      <c r="M122" s="38">
        <f t="shared" si="11"/>
        <v>-0.17888566514971393</v>
      </c>
      <c r="O122" s="32">
        <v>41912</v>
      </c>
      <c r="P122" s="33">
        <v>94.050003051757813</v>
      </c>
      <c r="Q122" s="33">
        <v>106.58999633789063</v>
      </c>
      <c r="R122" s="33">
        <v>3.4100000858306885</v>
      </c>
      <c r="T122" s="33">
        <f t="shared" si="6"/>
        <v>183.4764068110581</v>
      </c>
      <c r="U122" s="33">
        <f t="shared" si="7"/>
        <v>168.07000853885904</v>
      </c>
      <c r="V122" s="33">
        <f t="shared" si="8"/>
        <v>15.485921957047063</v>
      </c>
      <c r="W122" s="33">
        <v>162.74093999603923</v>
      </c>
    </row>
    <row r="123" spans="10:23">
      <c r="J123" s="16"/>
      <c r="K123" s="38">
        <f t="shared" si="9"/>
        <v>-6.3798968331661793E-2</v>
      </c>
      <c r="L123" s="38">
        <f t="shared" si="10"/>
        <v>4.3607462054769111E-3</v>
      </c>
      <c r="M123" s="38">
        <f t="shared" si="11"/>
        <v>-3.5714252262698792E-3</v>
      </c>
      <c r="O123" s="32">
        <v>41943</v>
      </c>
      <c r="P123" s="33">
        <v>96.709999084472656</v>
      </c>
      <c r="Q123" s="33">
        <v>107.77999877929688</v>
      </c>
      <c r="R123" s="33">
        <v>2.7999999523162842</v>
      </c>
      <c r="T123" s="33">
        <f t="shared" si="6"/>
        <v>188.66563061092984</v>
      </c>
      <c r="U123" s="33">
        <f t="shared" si="7"/>
        <v>169.94639213356712</v>
      </c>
      <c r="V123" s="33">
        <f t="shared" si="8"/>
        <v>12.715712507304142</v>
      </c>
      <c r="W123" s="33">
        <v>166.5167667832859</v>
      </c>
    </row>
    <row r="124" spans="10:23">
      <c r="J124" s="16"/>
      <c r="K124" s="38">
        <f t="shared" si="9"/>
        <v>2.1095604300875207E-2</v>
      </c>
      <c r="L124" s="38">
        <f t="shared" si="10"/>
        <v>-3.399538388153147E-2</v>
      </c>
      <c r="M124" s="38">
        <f t="shared" si="11"/>
        <v>-4.3010712257996596E-2</v>
      </c>
      <c r="O124" s="32">
        <v>41971</v>
      </c>
      <c r="P124" s="33">
        <v>90.540000915527344</v>
      </c>
      <c r="Q124" s="33">
        <v>108.25</v>
      </c>
      <c r="R124" s="33">
        <v>2.7899999618530273</v>
      </c>
      <c r="T124" s="33">
        <f t="shared" si="6"/>
        <v>176.6289580183101</v>
      </c>
      <c r="U124" s="33">
        <f t="shared" si="7"/>
        <v>170.68748521819805</v>
      </c>
      <c r="V124" s="33">
        <f t="shared" si="8"/>
        <v>12.670299290885559</v>
      </c>
      <c r="W124" s="33">
        <v>170.60201993530916</v>
      </c>
    </row>
    <row r="125" spans="10:23">
      <c r="J125" s="16"/>
      <c r="K125" s="38">
        <f t="shared" si="9"/>
        <v>-5.4407776585573088E-2</v>
      </c>
      <c r="L125" s="38">
        <f t="shared" si="10"/>
        <v>-4.2363969762878824E-2</v>
      </c>
      <c r="M125" s="38">
        <f t="shared" si="11"/>
        <v>-3.7453236027600117E-2</v>
      </c>
      <c r="O125" s="32">
        <v>42004</v>
      </c>
      <c r="P125" s="33">
        <v>92.449996948242188</v>
      </c>
      <c r="Q125" s="33">
        <v>104.56999969482422</v>
      </c>
      <c r="R125" s="33">
        <v>2.6700000762939453</v>
      </c>
      <c r="T125" s="33">
        <f t="shared" si="6"/>
        <v>180.35505262474027</v>
      </c>
      <c r="U125" s="33">
        <f t="shared" si="7"/>
        <v>164.88489863443218</v>
      </c>
      <c r="V125" s="33">
        <f t="shared" si="8"/>
        <v>12.125340693862583</v>
      </c>
      <c r="W125" s="33">
        <v>169.88745131691851</v>
      </c>
    </row>
    <row r="126" spans="10:23">
      <c r="J126" s="16"/>
      <c r="K126" s="38">
        <f t="shared" si="9"/>
        <v>1.2811745253271991E-2</v>
      </c>
      <c r="L126" s="38">
        <f t="shared" si="10"/>
        <v>2.3666893958729347E-2</v>
      </c>
      <c r="M126" s="38">
        <f t="shared" si="11"/>
        <v>0.21011672213223029</v>
      </c>
      <c r="O126" s="32">
        <v>42034</v>
      </c>
      <c r="P126" s="33">
        <v>87.419998168945313</v>
      </c>
      <c r="Q126" s="33">
        <v>100.13999938964844</v>
      </c>
      <c r="R126" s="33">
        <v>2.5699999332427979</v>
      </c>
      <c r="T126" s="33">
        <f t="shared" si="6"/>
        <v>170.54233521545413</v>
      </c>
      <c r="U126" s="33">
        <f t="shared" si="7"/>
        <v>157.89971977432776</v>
      </c>
      <c r="V126" s="33">
        <f t="shared" si="8"/>
        <v>11.671207446940283</v>
      </c>
      <c r="W126" s="33">
        <v>164.61400092415332</v>
      </c>
    </row>
    <row r="127" spans="10:23">
      <c r="J127" s="16"/>
      <c r="K127" s="38">
        <f t="shared" si="9"/>
        <v>-3.9981938998450255E-2</v>
      </c>
      <c r="L127" s="38">
        <f t="shared" si="10"/>
        <v>-1.8632363889438605E-2</v>
      </c>
      <c r="M127" s="38">
        <f t="shared" si="11"/>
        <v>-0.13826361506207507</v>
      </c>
      <c r="O127" s="32">
        <v>42062</v>
      </c>
      <c r="P127" s="33">
        <v>88.540000915527344</v>
      </c>
      <c r="Q127" s="33">
        <v>102.51000213623047</v>
      </c>
      <c r="R127" s="33">
        <v>3.1099998950958252</v>
      </c>
      <c r="T127" s="33">
        <f t="shared" si="6"/>
        <v>172.72728016913263</v>
      </c>
      <c r="U127" s="33">
        <f t="shared" si="7"/>
        <v>161.63671569833983</v>
      </c>
      <c r="V127" s="33">
        <f t="shared" si="8"/>
        <v>14.12352329901665</v>
      </c>
      <c r="W127" s="33">
        <v>173.65007591260138</v>
      </c>
    </row>
    <row r="128" spans="10:23">
      <c r="J128" s="16"/>
      <c r="K128" s="38">
        <f t="shared" si="9"/>
        <v>2.7882385253906249E-2</v>
      </c>
      <c r="L128" s="38">
        <f t="shared" si="10"/>
        <v>-1.3916516372900846E-2</v>
      </c>
      <c r="M128" s="38">
        <f t="shared" si="11"/>
        <v>-0.15671644247462466</v>
      </c>
      <c r="O128" s="32">
        <v>42094</v>
      </c>
      <c r="P128" s="33">
        <v>85</v>
      </c>
      <c r="Q128" s="33">
        <v>100.59999847412109</v>
      </c>
      <c r="R128" s="33">
        <v>2.6800000667572021</v>
      </c>
      <c r="T128" s="33">
        <f t="shared" si="6"/>
        <v>165.82130859004215</v>
      </c>
      <c r="U128" s="33">
        <f t="shared" si="7"/>
        <v>158.62504159355464</v>
      </c>
      <c r="V128" s="33">
        <f t="shared" si="8"/>
        <v>12.170753910281164</v>
      </c>
      <c r="W128" s="33">
        <v>170.62924945540948</v>
      </c>
    </row>
    <row r="129" spans="10:23">
      <c r="J129" s="16"/>
      <c r="K129" s="38">
        <f t="shared" si="9"/>
        <v>-2.4836966122502906E-2</v>
      </c>
      <c r="L129" s="38">
        <f t="shared" si="10"/>
        <v>9.4758313540745202E-3</v>
      </c>
      <c r="M129" s="38">
        <f t="shared" si="11"/>
        <v>8.8495491198714825E-3</v>
      </c>
      <c r="O129" s="32">
        <v>42124</v>
      </c>
      <c r="P129" s="33">
        <v>87.370002746582031</v>
      </c>
      <c r="Q129" s="33">
        <v>99.199996948242188</v>
      </c>
      <c r="R129" s="33">
        <v>2.2599999904632568</v>
      </c>
      <c r="T129" s="33">
        <f t="shared" si="6"/>
        <v>170.4448021994566</v>
      </c>
      <c r="U129" s="33">
        <f t="shared" si="7"/>
        <v>156.41753360506584</v>
      </c>
      <c r="V129" s="33">
        <f t="shared" si="8"/>
        <v>10.263396655227771</v>
      </c>
      <c r="W129" s="33">
        <v>172.08314080137291</v>
      </c>
    </row>
    <row r="130" spans="10:23">
      <c r="J130" s="16"/>
      <c r="K130" s="38">
        <f t="shared" si="9"/>
        <v>-2.3474179244571711E-2</v>
      </c>
      <c r="L130" s="38">
        <f t="shared" si="10"/>
        <v>-2.6762535665172126E-2</v>
      </c>
      <c r="M130" s="38">
        <f t="shared" si="11"/>
        <v>5.2631633983975551E-2</v>
      </c>
      <c r="O130" s="32">
        <v>42153</v>
      </c>
      <c r="P130" s="33">
        <v>85.199996948242188</v>
      </c>
      <c r="Q130" s="33">
        <v>100.13999938964844</v>
      </c>
      <c r="R130" s="33">
        <v>2.2799999713897705</v>
      </c>
      <c r="T130" s="33">
        <f t="shared" si="6"/>
        <v>166.21147042147197</v>
      </c>
      <c r="U130" s="33">
        <f t="shared" si="7"/>
        <v>157.89971977432776</v>
      </c>
      <c r="V130" s="33">
        <f t="shared" si="8"/>
        <v>10.354223088064934</v>
      </c>
      <c r="W130" s="33">
        <v>173.88854049772249</v>
      </c>
    </row>
    <row r="131" spans="10:23">
      <c r="J131" s="16"/>
      <c r="K131" s="38">
        <f t="shared" si="9"/>
        <v>-4.7956706852425313E-2</v>
      </c>
      <c r="L131" s="38">
        <f t="shared" si="10"/>
        <v>2.8216704554003331E-2</v>
      </c>
      <c r="M131" s="38">
        <f t="shared" si="11"/>
        <v>-0.19583338714307996</v>
      </c>
      <c r="O131" s="32">
        <v>42185</v>
      </c>
      <c r="P131" s="33">
        <v>83.199996948242188</v>
      </c>
      <c r="Q131" s="33">
        <v>97.459999084472656</v>
      </c>
      <c r="R131" s="33">
        <v>2.4000000953674316</v>
      </c>
      <c r="T131" s="33">
        <f t="shared" si="6"/>
        <v>162.3097925722945</v>
      </c>
      <c r="U131" s="33">
        <f t="shared" si="7"/>
        <v>153.67392289234664</v>
      </c>
      <c r="V131" s="33">
        <f t="shared" si="8"/>
        <v>10.899182767824398</v>
      </c>
      <c r="W131" s="33">
        <v>170.23483398244099</v>
      </c>
    </row>
    <row r="132" spans="10:23">
      <c r="J132" s="16"/>
      <c r="K132" s="38">
        <f t="shared" si="9"/>
        <v>-5.0119950341993562E-2</v>
      </c>
      <c r="L132" s="38">
        <f t="shared" si="10"/>
        <v>-6.2169402100158165E-2</v>
      </c>
      <c r="M132" s="38">
        <f t="shared" si="11"/>
        <v>-6.217616996354481E-2</v>
      </c>
      <c r="O132" s="32">
        <v>42216</v>
      </c>
      <c r="P132" s="33">
        <v>79.209999084472656</v>
      </c>
      <c r="Q132" s="33">
        <v>100.20999908447266</v>
      </c>
      <c r="R132" s="33">
        <v>1.9299999475479126</v>
      </c>
      <c r="T132" s="33">
        <f t="shared" si="6"/>
        <v>154.52594943062704</v>
      </c>
      <c r="U132" s="33">
        <f t="shared" si="7"/>
        <v>158.01009457225464</v>
      </c>
      <c r="V132" s="33">
        <f t="shared" si="8"/>
        <v>8.7647588893098565</v>
      </c>
      <c r="W132" s="33">
        <v>173.59561687240071</v>
      </c>
    </row>
    <row r="133" spans="10:23">
      <c r="J133" s="16"/>
      <c r="K133" s="38">
        <f t="shared" si="9"/>
        <v>-1.1828806684177229E-2</v>
      </c>
      <c r="L133" s="38">
        <f t="shared" si="10"/>
        <v>-6.703605664066194E-3</v>
      </c>
      <c r="M133" s="38">
        <f t="shared" si="11"/>
        <v>-4.9723711057748671E-2</v>
      </c>
      <c r="O133" s="32">
        <v>42247</v>
      </c>
      <c r="P133" s="33">
        <v>75.239997863769531</v>
      </c>
      <c r="Q133" s="33">
        <v>93.980003356933594</v>
      </c>
      <c r="R133" s="33">
        <v>1.809999942779541</v>
      </c>
      <c r="T133" s="33">
        <f t="shared" ref="T133:T196" si="12">P133/$P$5*100</f>
        <v>146.7811165186146</v>
      </c>
      <c r="U133" s="33">
        <f t="shared" ref="U133:U196" si="13">Q133/$Q$5*100</f>
        <v>148.18670146690812</v>
      </c>
      <c r="V133" s="33">
        <f t="shared" ref="V133:V196" si="14">R133/$R$5*100</f>
        <v>8.2197997509186376</v>
      </c>
      <c r="W133" s="33">
        <v>162.73186348933913</v>
      </c>
    </row>
    <row r="134" spans="10:23">
      <c r="J134" s="16"/>
      <c r="K134" s="38">
        <f t="shared" ref="K134:K197" si="15">(P135-P134)/P134</f>
        <v>0.11284464777183195</v>
      </c>
      <c r="L134" s="38">
        <f t="shared" ref="L134:L197" si="16">(Q135-Q134)/Q134</f>
        <v>8.2271027645542658E-2</v>
      </c>
      <c r="M134" s="38">
        <f t="shared" ref="M134:M197" si="17">(R135-R134)/R134</f>
        <v>0.23255805249727518</v>
      </c>
      <c r="O134" s="32">
        <v>42277</v>
      </c>
      <c r="P134" s="33">
        <v>74.349998474121094</v>
      </c>
      <c r="Q134" s="33">
        <v>93.349998474121094</v>
      </c>
      <c r="R134" s="33">
        <v>1.7200000286102295</v>
      </c>
      <c r="T134" s="33">
        <f t="shared" si="12"/>
        <v>145.04487106642821</v>
      </c>
      <c r="U134" s="33">
        <f t="shared" si="13"/>
        <v>147.19331625561526</v>
      </c>
      <c r="V134" s="33">
        <f t="shared" si="14"/>
        <v>7.8110808031514045</v>
      </c>
      <c r="W134" s="33">
        <v>158.4287741765132</v>
      </c>
    </row>
    <row r="135" spans="10:23">
      <c r="J135" s="16"/>
      <c r="K135" s="38">
        <f t="shared" si="15"/>
        <v>-1.3052867168770714E-2</v>
      </c>
      <c r="L135" s="38">
        <f t="shared" si="16"/>
        <v>2.0785814808471459E-3</v>
      </c>
      <c r="M135" s="38">
        <f t="shared" si="17"/>
        <v>0.11320755777939623</v>
      </c>
      <c r="O135" s="32">
        <v>42307</v>
      </c>
      <c r="P135" s="33">
        <v>82.739997863769531</v>
      </c>
      <c r="Q135" s="33">
        <v>101.02999877929688</v>
      </c>
      <c r="R135" s="33">
        <v>2.119999885559082</v>
      </c>
      <c r="T135" s="33">
        <f t="shared" si="12"/>
        <v>161.41240845303005</v>
      </c>
      <c r="U135" s="33">
        <f t="shared" si="13"/>
        <v>159.30306164652009</v>
      </c>
      <c r="V135" s="33">
        <f t="shared" si="14"/>
        <v>9.6276105426311478</v>
      </c>
      <c r="W135" s="33">
        <v>171.5756815631394</v>
      </c>
    </row>
    <row r="136" spans="10:23">
      <c r="J136" s="16"/>
      <c r="K136" s="38">
        <f t="shared" si="15"/>
        <v>-4.543236036601659E-2</v>
      </c>
      <c r="L136" s="38">
        <f t="shared" si="16"/>
        <v>1.4618761242222807E-2</v>
      </c>
      <c r="M136" s="38">
        <f t="shared" si="17"/>
        <v>0.2161017004801811</v>
      </c>
      <c r="O136" s="32">
        <v>42338</v>
      </c>
      <c r="P136" s="33">
        <v>81.660003662109375</v>
      </c>
      <c r="Q136" s="33">
        <v>101.23999786376953</v>
      </c>
      <c r="R136" s="33">
        <v>2.3599998950958252</v>
      </c>
      <c r="T136" s="33">
        <f t="shared" si="12"/>
        <v>159.30551372610131</v>
      </c>
      <c r="U136" s="33">
        <f t="shared" si="13"/>
        <v>159.63418604030082</v>
      </c>
      <c r="V136" s="33">
        <f t="shared" si="14"/>
        <v>10.717528819413587</v>
      </c>
      <c r="W136" s="33">
        <v>171.6623209452768</v>
      </c>
    </row>
    <row r="137" spans="10:23">
      <c r="J137" s="16"/>
      <c r="K137" s="38">
        <f t="shared" si="15"/>
        <v>-1.2828541120725313E-3</v>
      </c>
      <c r="L137" s="38">
        <f t="shared" si="16"/>
        <v>1.6744559971407596E-2</v>
      </c>
      <c r="M137" s="38">
        <f t="shared" si="17"/>
        <v>-0.23344943017126596</v>
      </c>
      <c r="O137" s="32">
        <v>42369</v>
      </c>
      <c r="P137" s="33">
        <v>77.949996948242188</v>
      </c>
      <c r="Q137" s="33">
        <v>102.72000122070313</v>
      </c>
      <c r="R137" s="33">
        <v>2.869999885559082</v>
      </c>
      <c r="T137" s="33">
        <f t="shared" si="12"/>
        <v>152.06788821820368</v>
      </c>
      <c r="U137" s="33">
        <f t="shared" si="13"/>
        <v>161.96784009212055</v>
      </c>
      <c r="V137" s="33">
        <f t="shared" si="14"/>
        <v>13.033605022234211</v>
      </c>
      <c r="W137" s="33">
        <v>168.65304640570326</v>
      </c>
    </row>
    <row r="138" spans="10:23">
      <c r="J138" s="16"/>
      <c r="K138" s="38">
        <f t="shared" si="15"/>
        <v>2.9544034641469902E-2</v>
      </c>
      <c r="L138" s="38">
        <f t="shared" si="16"/>
        <v>7.3726218409310724E-3</v>
      </c>
      <c r="M138" s="38">
        <f t="shared" si="17"/>
        <v>-2.7272700672307866E-2</v>
      </c>
      <c r="O138" s="32">
        <v>42398</v>
      </c>
      <c r="P138" s="33">
        <v>77.849998474121094</v>
      </c>
      <c r="Q138" s="33">
        <v>104.44000244140625</v>
      </c>
      <c r="R138" s="33">
        <v>2.2000000476837158</v>
      </c>
      <c r="T138" s="33">
        <f t="shared" si="12"/>
        <v>151.87280730248875</v>
      </c>
      <c r="U138" s="33">
        <f t="shared" si="13"/>
        <v>164.67992030398241</v>
      </c>
      <c r="V138" s="33">
        <f t="shared" si="14"/>
        <v>9.9909173567162828</v>
      </c>
      <c r="W138" s="33">
        <v>160.09637599841565</v>
      </c>
    </row>
    <row r="139" spans="10:23">
      <c r="J139" s="16"/>
      <c r="K139" s="38">
        <f t="shared" si="15"/>
        <v>4.2919460343378908E-2</v>
      </c>
      <c r="L139" s="38">
        <f t="shared" si="16"/>
        <v>2.841933171550429E-2</v>
      </c>
      <c r="M139" s="38">
        <f t="shared" si="17"/>
        <v>0.33177559108586402</v>
      </c>
      <c r="O139" s="32">
        <v>42429</v>
      </c>
      <c r="P139" s="33">
        <v>80.150001525878906</v>
      </c>
      <c r="Q139" s="33">
        <v>105.20999908447266</v>
      </c>
      <c r="R139" s="33">
        <v>2.1400001049041748</v>
      </c>
      <c r="T139" s="33">
        <f t="shared" si="12"/>
        <v>156.35974278253079</v>
      </c>
      <c r="U139" s="33">
        <f t="shared" si="13"/>
        <v>165.89404308117835</v>
      </c>
      <c r="V139" s="33">
        <f t="shared" si="14"/>
        <v>9.7184380582047947</v>
      </c>
      <c r="W139" s="33">
        <v>159.43544128325294</v>
      </c>
    </row>
    <row r="140" spans="10:23">
      <c r="J140" s="16"/>
      <c r="K140" s="38">
        <f t="shared" si="15"/>
        <v>5.7542832859390228E-2</v>
      </c>
      <c r="L140" s="38">
        <f t="shared" si="16"/>
        <v>3.5859565547571248E-2</v>
      </c>
      <c r="M140" s="38">
        <f t="shared" si="17"/>
        <v>0.24561406003764838</v>
      </c>
      <c r="O140" s="32">
        <v>42460</v>
      </c>
      <c r="P140" s="33">
        <v>83.589996337890625</v>
      </c>
      <c r="Q140" s="33">
        <v>108.19999694824219</v>
      </c>
      <c r="R140" s="33">
        <v>2.8499999046325684</v>
      </c>
      <c r="T140" s="33">
        <f t="shared" si="12"/>
        <v>163.07061856218652</v>
      </c>
      <c r="U140" s="33">
        <f t="shared" si="13"/>
        <v>170.60864092112851</v>
      </c>
      <c r="V140" s="33">
        <f t="shared" si="14"/>
        <v>12.942778589397047</v>
      </c>
      <c r="W140" s="33">
        <v>169.95676282262843</v>
      </c>
    </row>
    <row r="141" spans="10:23">
      <c r="J141" s="16"/>
      <c r="K141" s="38">
        <f t="shared" si="15"/>
        <v>7.0135193041370907E-3</v>
      </c>
      <c r="L141" s="38">
        <f t="shared" si="16"/>
        <v>5.4425463988754677E-3</v>
      </c>
      <c r="M141" s="38">
        <f t="shared" si="17"/>
        <v>0.28732400930866736</v>
      </c>
      <c r="O141" s="32">
        <v>42489</v>
      </c>
      <c r="P141" s="33">
        <v>88.400001525878906</v>
      </c>
      <c r="Q141" s="33">
        <v>112.08000183105469</v>
      </c>
      <c r="R141" s="33">
        <v>3.5499999523162842</v>
      </c>
      <c r="T141" s="33">
        <f t="shared" si="12"/>
        <v>172.45416391038779</v>
      </c>
      <c r="U141" s="33">
        <f t="shared" si="13"/>
        <v>176.72659266322177</v>
      </c>
      <c r="V141" s="33">
        <f t="shared" si="14"/>
        <v>16.121706986907203</v>
      </c>
      <c r="W141" s="33">
        <v>170.41553897947051</v>
      </c>
    </row>
    <row r="142" spans="10:23">
      <c r="J142" s="16"/>
      <c r="K142" s="38">
        <f t="shared" si="15"/>
        <v>5.3021808567668111E-2</v>
      </c>
      <c r="L142" s="38">
        <f t="shared" si="16"/>
        <v>7.6404298729413705E-2</v>
      </c>
      <c r="M142" s="38">
        <f t="shared" si="17"/>
        <v>0.1247264055609436</v>
      </c>
      <c r="O142" s="32">
        <v>42521</v>
      </c>
      <c r="P142" s="33">
        <v>89.019996643066406</v>
      </c>
      <c r="Q142" s="33">
        <v>112.69000244140625</v>
      </c>
      <c r="R142" s="33">
        <v>4.570000171661377</v>
      </c>
      <c r="T142" s="33">
        <f t="shared" si="12"/>
        <v>173.66367451805215</v>
      </c>
      <c r="U142" s="33">
        <f t="shared" si="13"/>
        <v>177.68843534370654</v>
      </c>
      <c r="V142" s="33">
        <f t="shared" si="14"/>
        <v>20.753860475284938</v>
      </c>
      <c r="W142" s="33">
        <v>173.02792263515735</v>
      </c>
    </row>
    <row r="143" spans="10:23">
      <c r="J143" s="16"/>
      <c r="K143" s="38">
        <f t="shared" si="15"/>
        <v>-5.1098794801431043E-2</v>
      </c>
      <c r="L143" s="38">
        <f t="shared" si="16"/>
        <v>3.2399012417987157E-2</v>
      </c>
      <c r="M143" s="38">
        <f t="shared" si="17"/>
        <v>0.33463041083789663</v>
      </c>
      <c r="O143" s="32">
        <v>42551</v>
      </c>
      <c r="P143" s="33">
        <v>93.739997863769531</v>
      </c>
      <c r="Q143" s="33">
        <v>121.30000305175781</v>
      </c>
      <c r="R143" s="33">
        <v>5.1399998664855957</v>
      </c>
      <c r="T143" s="33">
        <f t="shared" si="12"/>
        <v>182.87163662350611</v>
      </c>
      <c r="U143" s="33">
        <f t="shared" si="13"/>
        <v>191.26459563846919</v>
      </c>
      <c r="V143" s="33">
        <f t="shared" si="14"/>
        <v>23.342414893880566</v>
      </c>
      <c r="W143" s="33">
        <v>173.18469865997747</v>
      </c>
    </row>
    <row r="144" spans="10:23">
      <c r="J144" s="16"/>
      <c r="K144" s="38">
        <f t="shared" si="15"/>
        <v>-2.0348483650279865E-2</v>
      </c>
      <c r="L144" s="38">
        <f t="shared" si="16"/>
        <v>-4.7033513224902887E-2</v>
      </c>
      <c r="M144" s="38">
        <f t="shared" si="17"/>
        <v>7.8717194073345195E-2</v>
      </c>
      <c r="O144" s="32">
        <v>42580</v>
      </c>
      <c r="P144" s="33">
        <v>88.949996948242188</v>
      </c>
      <c r="Q144" s="33">
        <v>125.23000335693359</v>
      </c>
      <c r="R144" s="33">
        <v>6.8600001335144043</v>
      </c>
      <c r="T144" s="33">
        <f t="shared" si="12"/>
        <v>173.5271163886797</v>
      </c>
      <c r="U144" s="33">
        <f t="shared" si="13"/>
        <v>197.46137964768124</v>
      </c>
      <c r="V144" s="33">
        <f t="shared" si="14"/>
        <v>31.153496779768453</v>
      </c>
      <c r="W144" s="33">
        <v>179.35177239421733</v>
      </c>
    </row>
    <row r="145" spans="10:23">
      <c r="J145" s="16"/>
      <c r="K145" s="38">
        <f t="shared" si="15"/>
        <v>1.6066030597777163E-3</v>
      </c>
      <c r="L145" s="38">
        <f t="shared" si="16"/>
        <v>-1.0139091013935952E-2</v>
      </c>
      <c r="M145" s="38">
        <f t="shared" si="17"/>
        <v>-6.6216248870330896E-2</v>
      </c>
      <c r="O145" s="32">
        <v>42613</v>
      </c>
      <c r="P145" s="33">
        <v>87.139999389648438</v>
      </c>
      <c r="Q145" s="33">
        <v>119.33999633789063</v>
      </c>
      <c r="R145" s="33">
        <v>7.4000000953674316</v>
      </c>
      <c r="T145" s="33">
        <f t="shared" si="12"/>
        <v>169.99610269796446</v>
      </c>
      <c r="U145" s="33">
        <f t="shared" si="13"/>
        <v>188.17407723661447</v>
      </c>
      <c r="V145" s="33">
        <f t="shared" si="14"/>
        <v>33.60581263184482</v>
      </c>
      <c r="W145" s="33">
        <v>179.13311109644189</v>
      </c>
    </row>
    <row r="146" spans="10:23">
      <c r="J146" s="16"/>
      <c r="K146" s="38">
        <f t="shared" si="15"/>
        <v>-4.5371209210098913E-2</v>
      </c>
      <c r="L146" s="38">
        <f t="shared" si="16"/>
        <v>-1.8115630571442502E-2</v>
      </c>
      <c r="M146" s="38">
        <f t="shared" si="17"/>
        <v>4.6309721957696053E-2</v>
      </c>
      <c r="O146" s="32">
        <v>42643</v>
      </c>
      <c r="P146" s="33">
        <v>87.279998779296875</v>
      </c>
      <c r="Q146" s="33">
        <v>118.12999725341797</v>
      </c>
      <c r="R146" s="33">
        <v>6.9099998474121094</v>
      </c>
      <c r="T146" s="33">
        <f t="shared" si="12"/>
        <v>170.26921895670927</v>
      </c>
      <c r="U146" s="33">
        <f t="shared" si="13"/>
        <v>186.26616314104899</v>
      </c>
      <c r="V146" s="33">
        <f t="shared" si="14"/>
        <v>31.380561779124879</v>
      </c>
      <c r="W146" s="33">
        <v>178.91197438774827</v>
      </c>
    </row>
    <row r="147" spans="10:23">
      <c r="J147" s="16"/>
      <c r="K147" s="38">
        <f t="shared" si="15"/>
        <v>4.7767683287459596E-2</v>
      </c>
      <c r="L147" s="38">
        <f t="shared" si="16"/>
        <v>-4.043447623406396E-2</v>
      </c>
      <c r="M147" s="38">
        <f t="shared" si="17"/>
        <v>0.23236512087228356</v>
      </c>
      <c r="O147" s="32">
        <v>42674</v>
      </c>
      <c r="P147" s="33">
        <v>83.319999694824219</v>
      </c>
      <c r="Q147" s="33">
        <v>115.98999786376953</v>
      </c>
      <c r="R147" s="33">
        <v>7.2300000190734863</v>
      </c>
      <c r="T147" s="33">
        <f t="shared" si="12"/>
        <v>162.54389860138429</v>
      </c>
      <c r="U147" s="33">
        <f t="shared" si="13"/>
        <v>182.89183414162574</v>
      </c>
      <c r="V147" s="33">
        <f t="shared" si="14"/>
        <v>32.833786869992451</v>
      </c>
      <c r="W147" s="33">
        <v>175.43649745857803</v>
      </c>
    </row>
    <row r="148" spans="10:23">
      <c r="J148" s="16"/>
      <c r="K148" s="38">
        <f t="shared" si="15"/>
        <v>3.3906059347074163E-2</v>
      </c>
      <c r="L148" s="38">
        <f t="shared" si="16"/>
        <v>3.5130241918291588E-2</v>
      </c>
      <c r="M148" s="38">
        <f t="shared" si="17"/>
        <v>0.27272731164878411</v>
      </c>
      <c r="O148" s="32">
        <v>42704</v>
      </c>
      <c r="P148" s="33">
        <v>87.300003051757813</v>
      </c>
      <c r="Q148" s="33">
        <v>111.30000305175781</v>
      </c>
      <c r="R148" s="33">
        <v>8.9099998474121094</v>
      </c>
      <c r="T148" s="33">
        <f t="shared" si="12"/>
        <v>170.30824407008416</v>
      </c>
      <c r="U148" s="33">
        <f t="shared" si="13"/>
        <v>175.49669862062177</v>
      </c>
      <c r="V148" s="33">
        <f t="shared" si="14"/>
        <v>40.463213724733045</v>
      </c>
      <c r="W148" s="33">
        <v>181.4319427024885</v>
      </c>
    </row>
    <row r="149" spans="10:23">
      <c r="J149" s="16"/>
      <c r="K149" s="38">
        <f t="shared" si="15"/>
        <v>-7.0573926388431851E-2</v>
      </c>
      <c r="L149" s="38">
        <f t="shared" si="16"/>
        <v>-1.7012404305598278E-2</v>
      </c>
      <c r="M149" s="38">
        <f t="shared" si="17"/>
        <v>-8.5537941267791406E-2</v>
      </c>
      <c r="O149" s="32">
        <v>42734</v>
      </c>
      <c r="P149" s="33">
        <v>90.260002136230469</v>
      </c>
      <c r="Q149" s="33">
        <v>115.20999908447266</v>
      </c>
      <c r="R149" s="33">
        <v>11.340000152587891</v>
      </c>
      <c r="T149" s="33">
        <f t="shared" si="12"/>
        <v>176.08272550082043</v>
      </c>
      <c r="U149" s="33">
        <f t="shared" si="13"/>
        <v>181.66194009902574</v>
      </c>
      <c r="V149" s="33">
        <f t="shared" si="14"/>
        <v>51.498637224549668</v>
      </c>
      <c r="W149" s="33">
        <v>184.73414086738387</v>
      </c>
    </row>
    <row r="150" spans="10:23">
      <c r="J150" s="16"/>
      <c r="K150" s="38">
        <f t="shared" si="15"/>
        <v>-3.0635352408183977E-2</v>
      </c>
      <c r="L150" s="38">
        <f t="shared" si="16"/>
        <v>7.9116989708367821E-2</v>
      </c>
      <c r="M150" s="38">
        <f t="shared" si="17"/>
        <v>0.39440696217205262</v>
      </c>
      <c r="O150" s="32">
        <v>42766</v>
      </c>
      <c r="P150" s="33">
        <v>83.889999389648438</v>
      </c>
      <c r="Q150" s="33">
        <v>113.25</v>
      </c>
      <c r="R150" s="33">
        <v>10.369999885559082</v>
      </c>
      <c r="T150" s="33">
        <f t="shared" si="12"/>
        <v>163.65587619305106</v>
      </c>
      <c r="U150" s="33">
        <f t="shared" si="13"/>
        <v>178.57143372712173</v>
      </c>
      <c r="V150" s="33">
        <f t="shared" si="14"/>
        <v>47.093549818264847</v>
      </c>
      <c r="W150" s="33">
        <v>188.03798930622469</v>
      </c>
    </row>
    <row r="151" spans="10:23">
      <c r="J151" s="16"/>
      <c r="K151" s="38">
        <f t="shared" si="15"/>
        <v>8.4850275946344676E-3</v>
      </c>
      <c r="L151" s="38">
        <f t="shared" si="16"/>
        <v>1.9147401888676262E-2</v>
      </c>
      <c r="M151" s="38">
        <f t="shared" si="17"/>
        <v>6.2240769260346425E-3</v>
      </c>
      <c r="O151" s="32">
        <v>42794</v>
      </c>
      <c r="P151" s="33">
        <v>81.319999694824219</v>
      </c>
      <c r="Q151" s="33">
        <v>122.20999908447266</v>
      </c>
      <c r="R151" s="33">
        <v>14.460000038146973</v>
      </c>
      <c r="T151" s="33">
        <f t="shared" si="12"/>
        <v>158.64222075220681</v>
      </c>
      <c r="U151" s="33">
        <f t="shared" si="13"/>
        <v>192.69946801151892</v>
      </c>
      <c r="V151" s="33">
        <f t="shared" si="14"/>
        <v>65.667573739984903</v>
      </c>
      <c r="W151" s="33">
        <v>195.03267542412027</v>
      </c>
    </row>
    <row r="152" spans="10:23">
      <c r="J152" s="16"/>
      <c r="K152" s="38">
        <f t="shared" si="15"/>
        <v>-4.3897159001843392E-3</v>
      </c>
      <c r="L152" s="38">
        <f t="shared" si="16"/>
        <v>-8.6712308678618295E-3</v>
      </c>
      <c r="M152" s="38">
        <f t="shared" si="17"/>
        <v>-8.5910651794765883E-2</v>
      </c>
      <c r="O152" s="32">
        <v>42825</v>
      </c>
      <c r="P152" s="33">
        <v>82.010002136230469</v>
      </c>
      <c r="Q152" s="33">
        <v>124.55000305175781</v>
      </c>
      <c r="R152" s="33">
        <v>14.550000190734863</v>
      </c>
      <c r="T152" s="33">
        <f t="shared" si="12"/>
        <v>159.9883043729634</v>
      </c>
      <c r="U152" s="33">
        <f t="shared" si="13"/>
        <v>196.38916216926958</v>
      </c>
      <c r="V152" s="33">
        <f t="shared" si="14"/>
        <v>66.076293770488633</v>
      </c>
      <c r="W152" s="33">
        <v>194.95676282262841</v>
      </c>
    </row>
    <row r="153" spans="10:23">
      <c r="J153" s="16"/>
      <c r="K153" s="38">
        <f t="shared" si="15"/>
        <v>-1.4084525467086662E-2</v>
      </c>
      <c r="L153" s="38">
        <f t="shared" si="16"/>
        <v>3.8713847347847739E-2</v>
      </c>
      <c r="M153" s="38">
        <f t="shared" si="17"/>
        <v>-0.15864666015730178</v>
      </c>
      <c r="O153" s="32">
        <v>42853</v>
      </c>
      <c r="P153" s="33">
        <v>81.650001525878906</v>
      </c>
      <c r="Q153" s="33">
        <v>123.47000122070313</v>
      </c>
      <c r="R153" s="33">
        <v>13.300000190734863</v>
      </c>
      <c r="T153" s="33">
        <f t="shared" si="12"/>
        <v>159.28600116941388</v>
      </c>
      <c r="U153" s="33">
        <f t="shared" si="13"/>
        <v>194.6862264041539</v>
      </c>
      <c r="V153" s="33">
        <f t="shared" si="14"/>
        <v>60.399636304483515</v>
      </c>
      <c r="W153" s="33">
        <v>196.72915704006849</v>
      </c>
    </row>
    <row r="154" spans="10:23">
      <c r="J154" s="16"/>
      <c r="K154" s="38">
        <f t="shared" si="15"/>
        <v>2.857184558181289E-3</v>
      </c>
      <c r="L154" s="38">
        <f t="shared" si="16"/>
        <v>3.1500922309027776E-2</v>
      </c>
      <c r="M154" s="38">
        <f t="shared" si="17"/>
        <v>0.11528150225442992</v>
      </c>
      <c r="O154" s="32">
        <v>42886</v>
      </c>
      <c r="P154" s="33">
        <v>80.5</v>
      </c>
      <c r="Q154" s="33">
        <v>128.25</v>
      </c>
      <c r="R154" s="33">
        <v>11.189999580383301</v>
      </c>
      <c r="T154" s="33">
        <f t="shared" si="12"/>
        <v>157.04253342939288</v>
      </c>
      <c r="U154" s="33">
        <f t="shared" si="13"/>
        <v>202.22327925389285</v>
      </c>
      <c r="V154" s="33">
        <f t="shared" si="14"/>
        <v>50.81743573006149</v>
      </c>
      <c r="W154" s="33">
        <v>199.00653508482395</v>
      </c>
    </row>
    <row r="155" spans="10:23">
      <c r="J155" s="16"/>
      <c r="K155" s="38">
        <f t="shared" si="15"/>
        <v>-8.5470384332269229E-3</v>
      </c>
      <c r="L155" s="38">
        <f t="shared" si="16"/>
        <v>3.2504947947214666E-3</v>
      </c>
      <c r="M155" s="38">
        <f t="shared" si="17"/>
        <v>9.0544884285983701E-2</v>
      </c>
      <c r="O155" s="32">
        <v>42916</v>
      </c>
      <c r="P155" s="33">
        <v>80.730003356933594</v>
      </c>
      <c r="Q155" s="33">
        <v>132.28999328613281</v>
      </c>
      <c r="R155" s="33">
        <v>12.479999542236328</v>
      </c>
      <c r="T155" s="33">
        <f t="shared" si="12"/>
        <v>157.49123293088499</v>
      </c>
      <c r="U155" s="33">
        <f t="shared" si="13"/>
        <v>208.59349906274653</v>
      </c>
      <c r="V155" s="33">
        <f t="shared" si="14"/>
        <v>56.675746061740931</v>
      </c>
      <c r="W155" s="33">
        <v>199.96451911017215</v>
      </c>
    </row>
    <row r="156" spans="10:23">
      <c r="J156" s="16"/>
      <c r="K156" s="38">
        <f t="shared" si="15"/>
        <v>-4.6351812119394112E-2</v>
      </c>
      <c r="L156" s="38">
        <f t="shared" si="16"/>
        <v>-2.637176765343694E-3</v>
      </c>
      <c r="M156" s="38">
        <f t="shared" si="17"/>
        <v>-4.4819961209769187E-2</v>
      </c>
      <c r="O156" s="32">
        <v>42947</v>
      </c>
      <c r="P156" s="33">
        <v>80.040000915527344</v>
      </c>
      <c r="Q156" s="33">
        <v>132.72000122070313</v>
      </c>
      <c r="R156" s="33">
        <v>13.609999656677246</v>
      </c>
      <c r="T156" s="33">
        <f t="shared" si="12"/>
        <v>156.14514931012843</v>
      </c>
      <c r="U156" s="33">
        <f t="shared" si="13"/>
        <v>209.27153114566272</v>
      </c>
      <c r="V156" s="33">
        <f t="shared" si="14"/>
        <v>61.807444930723051</v>
      </c>
      <c r="W156" s="33">
        <v>203.83358637533817</v>
      </c>
    </row>
    <row r="157" spans="10:23">
      <c r="J157" s="16"/>
      <c r="K157" s="38">
        <f t="shared" si="15"/>
        <v>7.4020717808763584E-2</v>
      </c>
      <c r="L157" s="38">
        <f t="shared" si="16"/>
        <v>-1.7828818443804035E-2</v>
      </c>
      <c r="M157" s="38">
        <f t="shared" si="17"/>
        <v>-1.9230769230769232E-2</v>
      </c>
      <c r="O157" s="32">
        <v>42978</v>
      </c>
      <c r="P157" s="33">
        <v>76.330001831054688</v>
      </c>
      <c r="Q157" s="33">
        <v>132.3699951171875</v>
      </c>
      <c r="R157" s="33">
        <v>13</v>
      </c>
      <c r="T157" s="33">
        <f t="shared" si="12"/>
        <v>148.90753868595061</v>
      </c>
      <c r="U157" s="33">
        <f t="shared" si="13"/>
        <v>208.71964512607749</v>
      </c>
      <c r="V157" s="33">
        <f t="shared" si="14"/>
        <v>59.0372376464531</v>
      </c>
      <c r="W157" s="33">
        <v>203.94497986665772</v>
      </c>
    </row>
    <row r="158" spans="10:23">
      <c r="J158" s="16"/>
      <c r="K158" s="38">
        <f t="shared" si="15"/>
        <v>1.671133277736845E-2</v>
      </c>
      <c r="L158" s="38">
        <f t="shared" si="16"/>
        <v>7.2302204080003901E-2</v>
      </c>
      <c r="M158" s="38">
        <f t="shared" si="17"/>
        <v>-0.13843139947629443</v>
      </c>
      <c r="O158" s="32">
        <v>43007</v>
      </c>
      <c r="P158" s="33">
        <v>81.980003356933594</v>
      </c>
      <c r="Q158" s="33">
        <v>130.00999450683594</v>
      </c>
      <c r="R158" s="33">
        <v>12.75</v>
      </c>
      <c r="T158" s="33">
        <f t="shared" si="12"/>
        <v>159.92978158662089</v>
      </c>
      <c r="U158" s="33">
        <f t="shared" si="13"/>
        <v>204.99842046746943</v>
      </c>
      <c r="V158" s="33">
        <f t="shared" si="14"/>
        <v>57.901906153252078</v>
      </c>
      <c r="W158" s="33">
        <v>207.88170836358822</v>
      </c>
    </row>
    <row r="159" spans="10:23">
      <c r="J159" s="16"/>
      <c r="K159" s="38">
        <f t="shared" si="15"/>
        <v>-7.1982675095523042E-4</v>
      </c>
      <c r="L159" s="38">
        <f t="shared" si="16"/>
        <v>-5.7386004557168958E-4</v>
      </c>
      <c r="M159" s="38">
        <f t="shared" si="17"/>
        <v>-8.6480943398798138E-3</v>
      </c>
      <c r="O159" s="32">
        <v>43039</v>
      </c>
      <c r="P159" s="33">
        <v>83.349998474121094</v>
      </c>
      <c r="Q159" s="33">
        <v>139.41000366210938</v>
      </c>
      <c r="R159" s="33">
        <v>10.984999656677246</v>
      </c>
      <c r="T159" s="33">
        <f t="shared" si="12"/>
        <v>162.60242138772679</v>
      </c>
      <c r="U159" s="33">
        <f t="shared" si="13"/>
        <v>219.82025810018686</v>
      </c>
      <c r="V159" s="33">
        <f t="shared" si="14"/>
        <v>49.886464252112333</v>
      </c>
      <c r="W159" s="33">
        <v>212.49422404119073</v>
      </c>
    </row>
    <row r="160" spans="10:23">
      <c r="J160" s="16"/>
      <c r="K160" s="38">
        <f t="shared" si="15"/>
        <v>4.202166770007146E-3</v>
      </c>
      <c r="L160" s="38">
        <f t="shared" si="16"/>
        <v>2.7991056091518128E-3</v>
      </c>
      <c r="M160" s="38">
        <f t="shared" si="17"/>
        <v>-5.6014746659359543E-2</v>
      </c>
      <c r="O160" s="32">
        <v>43069</v>
      </c>
      <c r="P160" s="33">
        <v>83.290000915527344</v>
      </c>
      <c r="Q160" s="33">
        <v>139.33000183105469</v>
      </c>
      <c r="R160" s="33">
        <v>10.890000343322754</v>
      </c>
      <c r="T160" s="33">
        <f t="shared" si="12"/>
        <v>162.48537581504181</v>
      </c>
      <c r="U160" s="33">
        <f t="shared" si="13"/>
        <v>219.69411203685593</v>
      </c>
      <c r="V160" s="33">
        <f t="shared" si="14"/>
        <v>49.455041402977024</v>
      </c>
      <c r="W160" s="33">
        <v>218.46161462802814</v>
      </c>
    </row>
    <row r="161" spans="10:23">
      <c r="J161" s="16"/>
      <c r="K161" s="38">
        <f t="shared" si="15"/>
        <v>4.3759011104946864E-2</v>
      </c>
      <c r="L161" s="38">
        <f t="shared" si="16"/>
        <v>-1.0950463540864657E-2</v>
      </c>
      <c r="M161" s="38">
        <f t="shared" si="17"/>
        <v>0.33657588793992521</v>
      </c>
      <c r="O161" s="32">
        <v>43098</v>
      </c>
      <c r="P161" s="33">
        <v>83.639999389648438</v>
      </c>
      <c r="Q161" s="33">
        <v>139.72000122070313</v>
      </c>
      <c r="R161" s="33">
        <v>10.279999732971191</v>
      </c>
      <c r="T161" s="33">
        <f t="shared" si="12"/>
        <v>163.16816646190389</v>
      </c>
      <c r="U161" s="33">
        <f t="shared" si="13"/>
        <v>220.30905905815592</v>
      </c>
      <c r="V161" s="33">
        <f t="shared" si="14"/>
        <v>46.684829787761132</v>
      </c>
      <c r="W161" s="33">
        <v>220.60944616806381</v>
      </c>
    </row>
    <row r="162" spans="10:23">
      <c r="J162" s="16"/>
      <c r="K162" s="38">
        <f t="shared" si="15"/>
        <v>-0.13241700783371871</v>
      </c>
      <c r="L162" s="38">
        <f t="shared" si="16"/>
        <v>-6.0134578564156695E-2</v>
      </c>
      <c r="M162" s="38">
        <f t="shared" si="17"/>
        <v>-0.11863174247405887</v>
      </c>
      <c r="O162" s="32">
        <v>43131</v>
      </c>
      <c r="P162" s="33">
        <v>87.300003051757813</v>
      </c>
      <c r="Q162" s="33">
        <v>138.19000244140625</v>
      </c>
      <c r="R162" s="33">
        <v>13.739999771118164</v>
      </c>
      <c r="T162" s="33">
        <f t="shared" si="12"/>
        <v>170.30824407008416</v>
      </c>
      <c r="U162" s="33">
        <f t="shared" si="13"/>
        <v>217.89657273921739</v>
      </c>
      <c r="V162" s="33">
        <f t="shared" si="14"/>
        <v>62.397817826901104</v>
      </c>
      <c r="W162" s="33">
        <v>233.00300349858065</v>
      </c>
    </row>
    <row r="163" spans="10:23">
      <c r="J163" s="16"/>
      <c r="K163" s="38">
        <f t="shared" si="15"/>
        <v>-1.4919425472528386E-2</v>
      </c>
      <c r="L163" s="38">
        <f t="shared" si="16"/>
        <v>-1.3320071768468679E-2</v>
      </c>
      <c r="M163" s="38">
        <f t="shared" si="17"/>
        <v>-0.1701073100201563</v>
      </c>
      <c r="O163" s="32">
        <v>43159</v>
      </c>
      <c r="P163" s="33">
        <v>75.739997863769531</v>
      </c>
      <c r="Q163" s="33">
        <v>129.8800048828125</v>
      </c>
      <c r="R163" s="33">
        <v>12.109999656677246</v>
      </c>
      <c r="T163" s="33">
        <f t="shared" si="12"/>
        <v>147.75653598090895</v>
      </c>
      <c r="U163" s="33">
        <f t="shared" si="13"/>
        <v>204.79345416697043</v>
      </c>
      <c r="V163" s="33">
        <f t="shared" si="14"/>
        <v>54.995455971516925</v>
      </c>
      <c r="W163" s="33">
        <v>223.92814707241391</v>
      </c>
    </row>
    <row r="164" spans="10:23">
      <c r="J164" s="16"/>
      <c r="K164" s="38">
        <f t="shared" si="15"/>
        <v>4.2085502800716865E-2</v>
      </c>
      <c r="L164" s="38">
        <f t="shared" si="16"/>
        <v>-1.29535396939288E-2</v>
      </c>
      <c r="M164" s="38">
        <f t="shared" si="17"/>
        <v>8.2587055517793426E-2</v>
      </c>
      <c r="O164" s="32">
        <v>43188</v>
      </c>
      <c r="P164" s="33">
        <v>74.610000610351563</v>
      </c>
      <c r="Q164" s="33">
        <v>128.14999389648438</v>
      </c>
      <c r="R164" s="33">
        <v>10.050000190734863</v>
      </c>
      <c r="T164" s="33">
        <f t="shared" si="12"/>
        <v>145.55209335426284</v>
      </c>
      <c r="U164" s="33">
        <f t="shared" si="13"/>
        <v>202.06559065975375</v>
      </c>
      <c r="V164" s="33">
        <f t="shared" si="14"/>
        <v>45.640326892870242</v>
      </c>
      <c r="W164" s="33">
        <v>217.9079477193213</v>
      </c>
    </row>
    <row r="165" spans="10:23">
      <c r="J165" s="16"/>
      <c r="K165" s="38">
        <f t="shared" si="15"/>
        <v>4.4887432331440914E-2</v>
      </c>
      <c r="L165" s="38">
        <f t="shared" si="16"/>
        <v>-5.4312556195838704E-2</v>
      </c>
      <c r="M165" s="38">
        <f t="shared" si="17"/>
        <v>0.2619484740641348</v>
      </c>
      <c r="O165" s="32">
        <v>43220</v>
      </c>
      <c r="P165" s="33">
        <v>77.75</v>
      </c>
      <c r="Q165" s="33">
        <v>126.48999786376953</v>
      </c>
      <c r="R165" s="33">
        <v>10.880000114440918</v>
      </c>
      <c r="T165" s="33">
        <f t="shared" si="12"/>
        <v>151.67772638677386</v>
      </c>
      <c r="U165" s="33">
        <f t="shared" si="13"/>
        <v>199.44812601036548</v>
      </c>
      <c r="V165" s="33">
        <f t="shared" si="14"/>
        <v>49.409627103821954</v>
      </c>
      <c r="W165" s="33">
        <v>218.50039606574686</v>
      </c>
    </row>
    <row r="166" spans="10:23">
      <c r="J166" s="16"/>
      <c r="K166" s="38">
        <f t="shared" si="15"/>
        <v>1.8340786956477232E-2</v>
      </c>
      <c r="L166" s="38">
        <f t="shared" si="16"/>
        <v>1.4378812504731699E-2</v>
      </c>
      <c r="M166" s="38">
        <f t="shared" si="17"/>
        <v>9.1769866780098117E-2</v>
      </c>
      <c r="O166" s="32">
        <v>43251</v>
      </c>
      <c r="P166" s="33">
        <v>81.239997863769531</v>
      </c>
      <c r="Q166" s="33">
        <v>119.62000274658203</v>
      </c>
      <c r="R166" s="33">
        <v>13.729999542236328</v>
      </c>
      <c r="T166" s="33">
        <f t="shared" si="12"/>
        <v>158.48615006614696</v>
      </c>
      <c r="U166" s="33">
        <f t="shared" si="13"/>
        <v>188.61558845827281</v>
      </c>
      <c r="V166" s="33">
        <f t="shared" si="14"/>
        <v>62.352403527746034</v>
      </c>
      <c r="W166" s="33">
        <v>223.22182982375068</v>
      </c>
    </row>
    <row r="167" spans="10:23">
      <c r="J167" s="16"/>
      <c r="K167" s="38">
        <f t="shared" si="15"/>
        <v>-1.4746780746998202E-2</v>
      </c>
      <c r="L167" s="38">
        <f t="shared" si="16"/>
        <v>9.2137862798658682E-2</v>
      </c>
      <c r="M167" s="38">
        <f t="shared" si="17"/>
        <v>0.22281522372156426</v>
      </c>
      <c r="O167" s="32">
        <v>43280</v>
      </c>
      <c r="P167" s="33">
        <v>82.730003356933594</v>
      </c>
      <c r="Q167" s="33">
        <v>121.33999633789063</v>
      </c>
      <c r="R167" s="33">
        <v>14.989999771118164</v>
      </c>
      <c r="T167" s="33">
        <f t="shared" si="12"/>
        <v>161.39291078006246</v>
      </c>
      <c r="U167" s="33">
        <f t="shared" si="13"/>
        <v>191.32765664018393</v>
      </c>
      <c r="V167" s="33">
        <f t="shared" si="14"/>
        <v>68.0744752929062</v>
      </c>
      <c r="W167" s="33">
        <v>224.30275925803676</v>
      </c>
    </row>
    <row r="168" spans="10:23">
      <c r="J168" s="16"/>
      <c r="K168" s="38">
        <f t="shared" si="15"/>
        <v>-1.6439748891744127E-2</v>
      </c>
      <c r="L168" s="38">
        <f t="shared" si="16"/>
        <v>1.6374872464415255E-2</v>
      </c>
      <c r="M168" s="38">
        <f t="shared" si="17"/>
        <v>0.37315876601514703</v>
      </c>
      <c r="O168" s="32">
        <v>43312</v>
      </c>
      <c r="P168" s="33">
        <v>81.510002136230469</v>
      </c>
      <c r="Q168" s="33">
        <v>132.52000427246094</v>
      </c>
      <c r="R168" s="33">
        <v>18.329999923706055</v>
      </c>
      <c r="T168" s="33">
        <f t="shared" si="12"/>
        <v>159.01288491066902</v>
      </c>
      <c r="U168" s="33">
        <f t="shared" si="13"/>
        <v>208.95617801728608</v>
      </c>
      <c r="V168" s="33">
        <f t="shared" si="14"/>
        <v>83.242504735023203</v>
      </c>
      <c r="W168" s="33">
        <v>232.38250049508213</v>
      </c>
    </row>
    <row r="169" spans="10:23">
      <c r="J169" s="16"/>
      <c r="K169" s="38">
        <f t="shared" si="15"/>
        <v>6.0496427402935773E-2</v>
      </c>
      <c r="L169" s="38">
        <f t="shared" si="16"/>
        <v>2.5837075242855931E-2</v>
      </c>
      <c r="M169" s="38">
        <f t="shared" si="17"/>
        <v>0.22725464028670397</v>
      </c>
      <c r="O169" s="32">
        <v>43343</v>
      </c>
      <c r="P169" s="33">
        <v>80.169998168945313</v>
      </c>
      <c r="Q169" s="33">
        <v>134.69000244140625</v>
      </c>
      <c r="R169" s="33">
        <v>25.170000076293945</v>
      </c>
      <c r="T169" s="33">
        <f t="shared" si="12"/>
        <v>156.39875301218581</v>
      </c>
      <c r="U169" s="33">
        <f t="shared" si="13"/>
        <v>212.37780878297076</v>
      </c>
      <c r="V169" s="33">
        <f t="shared" si="14"/>
        <v>114.30517508195447</v>
      </c>
      <c r="W169" s="33">
        <v>239.41514291372363</v>
      </c>
    </row>
    <row r="170" spans="10:23">
      <c r="J170" s="16"/>
      <c r="K170" s="38">
        <f t="shared" si="15"/>
        <v>-6.280871028858262E-2</v>
      </c>
      <c r="L170" s="38">
        <f t="shared" si="16"/>
        <v>1.3172232382845971E-2</v>
      </c>
      <c r="M170" s="38">
        <f t="shared" si="17"/>
        <v>-0.41048884932723506</v>
      </c>
      <c r="O170" s="32">
        <v>43371</v>
      </c>
      <c r="P170" s="33">
        <v>85.019996643066406</v>
      </c>
      <c r="Q170" s="33">
        <v>138.16999816894531</v>
      </c>
      <c r="R170" s="33">
        <v>30.889999389648438</v>
      </c>
      <c r="T170" s="33">
        <f t="shared" si="12"/>
        <v>165.8603188196972</v>
      </c>
      <c r="U170" s="33">
        <f t="shared" si="13"/>
        <v>217.86503020840925</v>
      </c>
      <c r="V170" s="33">
        <f t="shared" si="14"/>
        <v>140.28155652811279</v>
      </c>
      <c r="W170" s="33">
        <v>240.44326358175454</v>
      </c>
    </row>
    <row r="171" spans="10:23">
      <c r="J171" s="16"/>
      <c r="K171" s="38">
        <f t="shared" si="15"/>
        <v>-2.2590399659434858E-3</v>
      </c>
      <c r="L171" s="38">
        <f t="shared" si="16"/>
        <v>4.9360583842949689E-2</v>
      </c>
      <c r="M171" s="38">
        <f t="shared" si="17"/>
        <v>0.1696870020835245</v>
      </c>
      <c r="O171" s="32">
        <v>43404</v>
      </c>
      <c r="P171" s="33">
        <v>79.680000305175781</v>
      </c>
      <c r="Q171" s="33">
        <v>139.99000549316406</v>
      </c>
      <c r="R171" s="33">
        <v>18.209999084472656</v>
      </c>
      <c r="T171" s="33">
        <f t="shared" si="12"/>
        <v>155.44284610657891</v>
      </c>
      <c r="U171" s="33">
        <f t="shared" si="13"/>
        <v>220.73479901441019</v>
      </c>
      <c r="V171" s="33">
        <f t="shared" si="14"/>
        <v>82.697541807054279</v>
      </c>
      <c r="W171" s="33">
        <v>223.75569344511183</v>
      </c>
    </row>
    <row r="172" spans="10:23">
      <c r="J172" s="16"/>
      <c r="K172" s="38">
        <f t="shared" si="15"/>
        <v>-0.14226412023388366</v>
      </c>
      <c r="L172" s="38">
        <f t="shared" si="16"/>
        <v>-0.1215111748561737</v>
      </c>
      <c r="M172" s="38">
        <f t="shared" si="17"/>
        <v>-0.13333334527291832</v>
      </c>
      <c r="O172" s="32">
        <v>43434</v>
      </c>
      <c r="P172" s="33">
        <v>79.5</v>
      </c>
      <c r="Q172" s="33">
        <v>146.89999389648438</v>
      </c>
      <c r="R172" s="33">
        <v>21.299999237060547</v>
      </c>
      <c r="T172" s="33">
        <f t="shared" si="12"/>
        <v>155.09169450480414</v>
      </c>
      <c r="U172" s="33">
        <f t="shared" si="13"/>
        <v>231.63039756821763</v>
      </c>
      <c r="V172" s="33">
        <f t="shared" si="14"/>
        <v>96.730239755970246</v>
      </c>
      <c r="W172" s="33">
        <v>227.75183180407944</v>
      </c>
    </row>
    <row r="173" spans="10:23">
      <c r="J173" s="16"/>
      <c r="K173" s="38">
        <f t="shared" si="15"/>
        <v>7.4644319631229167E-2</v>
      </c>
      <c r="L173" s="38">
        <f t="shared" si="16"/>
        <v>3.1228195924029322E-2</v>
      </c>
      <c r="M173" s="38">
        <f t="shared" si="17"/>
        <v>0.32231858385866358</v>
      </c>
      <c r="O173" s="32">
        <v>43465</v>
      </c>
      <c r="P173" s="33">
        <v>68.19000244140625</v>
      </c>
      <c r="Q173" s="33">
        <v>129.05000305175781</v>
      </c>
      <c r="R173" s="33">
        <v>18.459999084472656</v>
      </c>
      <c r="T173" s="33">
        <f t="shared" si="12"/>
        <v>133.02771103049594</v>
      </c>
      <c r="U173" s="33">
        <f t="shared" si="13"/>
        <v>203.4847158273009</v>
      </c>
      <c r="V173" s="33">
        <f t="shared" si="14"/>
        <v>83.832873300255301</v>
      </c>
      <c r="W173" s="33">
        <v>206.84946201069371</v>
      </c>
    </row>
    <row r="174" spans="10:23">
      <c r="J174" s="16"/>
      <c r="K174" s="38">
        <f t="shared" si="15"/>
        <v>7.8466158512334669E-2</v>
      </c>
      <c r="L174" s="38">
        <f t="shared" si="16"/>
        <v>2.6750807857015012E-2</v>
      </c>
      <c r="M174" s="38">
        <f t="shared" si="17"/>
        <v>-3.6050764697562951E-2</v>
      </c>
      <c r="O174" s="32">
        <v>43496</v>
      </c>
      <c r="P174" s="33">
        <v>73.279998779296875</v>
      </c>
      <c r="Q174" s="33">
        <v>133.08000183105469</v>
      </c>
      <c r="R174" s="33">
        <v>24.409999847412109</v>
      </c>
      <c r="T174" s="33">
        <f t="shared" si="12"/>
        <v>142.95747401246706</v>
      </c>
      <c r="U174" s="33">
        <f t="shared" si="13"/>
        <v>209.83917640070132</v>
      </c>
      <c r="V174" s="33">
        <f t="shared" si="14"/>
        <v>110.85376630319637</v>
      </c>
      <c r="W174" s="33">
        <v>223.12528879794039</v>
      </c>
    </row>
    <row r="175" spans="10:23">
      <c r="J175" s="16"/>
      <c r="K175" s="38">
        <f t="shared" si="15"/>
        <v>2.2396612676205904E-2</v>
      </c>
      <c r="L175" s="38">
        <f t="shared" si="16"/>
        <v>2.3053234122913879E-2</v>
      </c>
      <c r="M175" s="38">
        <f t="shared" si="17"/>
        <v>8.4572873482642599E-2</v>
      </c>
      <c r="O175" s="32">
        <v>43524</v>
      </c>
      <c r="P175" s="33">
        <v>79.029998779296875</v>
      </c>
      <c r="Q175" s="33">
        <v>136.63999938964844</v>
      </c>
      <c r="R175" s="33">
        <v>23.530000686645508</v>
      </c>
      <c r="T175" s="33">
        <f t="shared" si="12"/>
        <v>154.17479782885226</v>
      </c>
      <c r="U175" s="33">
        <f t="shared" si="13"/>
        <v>215.45254388947072</v>
      </c>
      <c r="V175" s="33">
        <f t="shared" si="14"/>
        <v>106.85740325836119</v>
      </c>
      <c r="W175" s="33">
        <v>229.75856492177695</v>
      </c>
    </row>
    <row r="176" spans="10:23">
      <c r="J176" s="16"/>
      <c r="K176" s="38">
        <f t="shared" si="15"/>
        <v>-6.4356961982766255E-3</v>
      </c>
      <c r="L176" s="38">
        <f t="shared" si="16"/>
        <v>1.0086585090702966E-2</v>
      </c>
      <c r="M176" s="38">
        <f t="shared" si="17"/>
        <v>8.2680198477858083E-2</v>
      </c>
      <c r="O176" s="32">
        <v>43553</v>
      </c>
      <c r="P176" s="33">
        <v>80.800003051757813</v>
      </c>
      <c r="Q176" s="33">
        <v>139.78999328613281</v>
      </c>
      <c r="R176" s="33">
        <v>25.520000457763672</v>
      </c>
      <c r="T176" s="33">
        <f t="shared" si="12"/>
        <v>157.62779106025741</v>
      </c>
      <c r="U176" s="33">
        <f t="shared" si="13"/>
        <v>220.41942182613207</v>
      </c>
      <c r="V176" s="33">
        <f t="shared" si="14"/>
        <v>115.8946409048143</v>
      </c>
      <c r="W176" s="33">
        <v>233.87682355270971</v>
      </c>
    </row>
    <row r="177" spans="10:23">
      <c r="J177" s="16"/>
      <c r="K177" s="38">
        <f t="shared" si="15"/>
        <v>-0.1184604170507657</v>
      </c>
      <c r="L177" s="38">
        <f t="shared" si="16"/>
        <v>-7.1175660545104047E-2</v>
      </c>
      <c r="M177" s="38">
        <f t="shared" si="17"/>
        <v>-7.9623351442906186E-3</v>
      </c>
      <c r="O177" s="32">
        <v>43585</v>
      </c>
      <c r="P177" s="33">
        <v>80.279998779296875</v>
      </c>
      <c r="Q177" s="33">
        <v>141.19999694824219</v>
      </c>
      <c r="R177" s="33">
        <v>27.629999160766602</v>
      </c>
      <c r="T177" s="33">
        <f t="shared" si="12"/>
        <v>156.61334648458819</v>
      </c>
      <c r="U177" s="33">
        <f t="shared" si="13"/>
        <v>222.64270108002492</v>
      </c>
      <c r="V177" s="33">
        <f t="shared" si="14"/>
        <v>125.47683281734443</v>
      </c>
      <c r="W177" s="33">
        <v>243.07132483992336</v>
      </c>
    </row>
    <row r="178" spans="10:23">
      <c r="J178" s="16"/>
      <c r="K178" s="38">
        <f t="shared" si="15"/>
        <v>8.2803460340783952E-2</v>
      </c>
      <c r="L178" s="38">
        <f t="shared" si="16"/>
        <v>6.1990127801526601E-2</v>
      </c>
      <c r="M178" s="38">
        <f t="shared" si="17"/>
        <v>0.10798982153590762</v>
      </c>
      <c r="O178" s="32">
        <v>43616</v>
      </c>
      <c r="P178" s="33">
        <v>70.769996643066406</v>
      </c>
      <c r="Q178" s="33">
        <v>131.14999389648438</v>
      </c>
      <c r="R178" s="33">
        <v>27.409999847412109</v>
      </c>
      <c r="T178" s="33">
        <f t="shared" si="12"/>
        <v>138.06086414430777</v>
      </c>
      <c r="U178" s="33">
        <f t="shared" si="13"/>
        <v>206.79595976510799</v>
      </c>
      <c r="V178" s="33">
        <f t="shared" si="14"/>
        <v>124.47774422160862</v>
      </c>
      <c r="W178" s="33">
        <v>227.08264571918932</v>
      </c>
    </row>
    <row r="179" spans="10:23">
      <c r="J179" s="16"/>
      <c r="K179" s="38">
        <f t="shared" si="15"/>
        <v>-2.9622820363146448E-2</v>
      </c>
      <c r="L179" s="38">
        <f t="shared" si="16"/>
        <v>-6.5048805557144096E-2</v>
      </c>
      <c r="M179" s="38">
        <f t="shared" si="17"/>
        <v>2.6341758806508499E-3</v>
      </c>
      <c r="O179" s="32">
        <v>43644</v>
      </c>
      <c r="P179" s="33">
        <v>76.629997253417969</v>
      </c>
      <c r="Q179" s="33">
        <v>139.27999877929688</v>
      </c>
      <c r="R179" s="33">
        <v>30.370000839233398</v>
      </c>
      <c r="T179" s="33">
        <f t="shared" si="12"/>
        <v>149.49278143309533</v>
      </c>
      <c r="U179" s="33">
        <f t="shared" si="13"/>
        <v>219.61526773978642</v>
      </c>
      <c r="V179" s="33">
        <f t="shared" si="14"/>
        <v>137.92007360529249</v>
      </c>
      <c r="W179" s="33">
        <v>242.73549409201922</v>
      </c>
    </row>
    <row r="180" spans="10:23">
      <c r="J180" s="16"/>
      <c r="K180" s="38">
        <f t="shared" si="15"/>
        <v>-7.9074733797129926E-2</v>
      </c>
      <c r="L180" s="38">
        <f t="shared" si="16"/>
        <v>-1.4283524749774375E-2</v>
      </c>
      <c r="M180" s="38">
        <f t="shared" si="17"/>
        <v>3.2840721673054768E-2</v>
      </c>
      <c r="O180" s="32">
        <v>43677</v>
      </c>
      <c r="P180" s="33">
        <v>74.360000610351563</v>
      </c>
      <c r="Q180" s="33">
        <v>130.22000122070313</v>
      </c>
      <c r="R180" s="33">
        <v>30.450000762939453</v>
      </c>
      <c r="T180" s="33">
        <f t="shared" si="12"/>
        <v>145.06438362311565</v>
      </c>
      <c r="U180" s="33">
        <f t="shared" si="13"/>
        <v>205.32955689120089</v>
      </c>
      <c r="V180" s="33">
        <f t="shared" si="14"/>
        <v>138.28337933664113</v>
      </c>
      <c r="W180" s="33">
        <v>245.92217308073134</v>
      </c>
    </row>
    <row r="181" spans="10:23">
      <c r="J181" s="16"/>
      <c r="K181" s="38">
        <f t="shared" si="15"/>
        <v>3.1103930330083823E-2</v>
      </c>
      <c r="L181" s="38">
        <f t="shared" si="16"/>
        <v>7.9464339950983103E-3</v>
      </c>
      <c r="M181" s="38">
        <f t="shared" si="17"/>
        <v>-7.8219425505392792E-2</v>
      </c>
      <c r="O181" s="32">
        <v>43707</v>
      </c>
      <c r="P181" s="33">
        <v>68.480003356933594</v>
      </c>
      <c r="Q181" s="33">
        <v>128.36000061035156</v>
      </c>
      <c r="R181" s="33">
        <v>31.450000762939453</v>
      </c>
      <c r="T181" s="33">
        <f t="shared" si="12"/>
        <v>133.59345610467304</v>
      </c>
      <c r="U181" s="33">
        <f t="shared" si="13"/>
        <v>202.39672708348522</v>
      </c>
      <c r="V181" s="33">
        <f t="shared" si="14"/>
        <v>142.82470530944522</v>
      </c>
      <c r="W181" s="33">
        <v>241.47303452373089</v>
      </c>
    </row>
    <row r="182" spans="10:23">
      <c r="J182" s="16"/>
      <c r="K182" s="38">
        <f t="shared" si="15"/>
        <v>-4.3053404464659835E-2</v>
      </c>
      <c r="L182" s="38">
        <f t="shared" si="16"/>
        <v>2.0559501491205143E-2</v>
      </c>
      <c r="M182" s="38">
        <f t="shared" si="17"/>
        <v>0.17040360721144904</v>
      </c>
      <c r="O182" s="32">
        <v>43738</v>
      </c>
      <c r="P182" s="33">
        <v>70.610000610351563</v>
      </c>
      <c r="Q182" s="33">
        <v>129.3800048828125</v>
      </c>
      <c r="R182" s="33">
        <v>28.989999771118164</v>
      </c>
      <c r="T182" s="33">
        <f t="shared" si="12"/>
        <v>137.74873765590789</v>
      </c>
      <c r="U182" s="33">
        <f t="shared" si="13"/>
        <v>204.00505931607805</v>
      </c>
      <c r="V182" s="33">
        <f t="shared" si="14"/>
        <v>131.6530389121634</v>
      </c>
      <c r="W182" s="33">
        <v>245.62182322265488</v>
      </c>
    </row>
    <row r="183" spans="10:23">
      <c r="J183" s="16"/>
      <c r="K183" s="38">
        <f t="shared" si="15"/>
        <v>8.2876655486598307E-3</v>
      </c>
      <c r="L183" s="38">
        <f t="shared" si="16"/>
        <v>4.1275465647904006E-2</v>
      </c>
      <c r="M183" s="38">
        <f t="shared" si="17"/>
        <v>0.15384618843952239</v>
      </c>
      <c r="O183" s="32">
        <v>43769</v>
      </c>
      <c r="P183" s="33">
        <v>67.569999694824219</v>
      </c>
      <c r="Q183" s="33">
        <v>132.03999328613281</v>
      </c>
      <c r="R183" s="33">
        <v>33.930000305175781</v>
      </c>
      <c r="T183" s="33">
        <f t="shared" si="12"/>
        <v>131.81818553911177</v>
      </c>
      <c r="U183" s="33">
        <f t="shared" si="13"/>
        <v>208.19930163730035</v>
      </c>
      <c r="V183" s="33">
        <f t="shared" si="14"/>
        <v>154.0871916431453</v>
      </c>
      <c r="W183" s="33">
        <v>250.64030629084422</v>
      </c>
    </row>
    <row r="184" spans="10:23">
      <c r="J184" s="16"/>
      <c r="K184" s="38">
        <f t="shared" si="15"/>
        <v>2.4218429361467918E-2</v>
      </c>
      <c r="L184" s="38">
        <f t="shared" si="16"/>
        <v>6.0949809362252784E-2</v>
      </c>
      <c r="M184" s="38">
        <f t="shared" si="17"/>
        <v>0.17139205167175325</v>
      </c>
      <c r="O184" s="32">
        <v>43798</v>
      </c>
      <c r="P184" s="33">
        <v>68.129997253417969</v>
      </c>
      <c r="Q184" s="33">
        <v>137.49000549316406</v>
      </c>
      <c r="R184" s="33">
        <v>39.150001525878906</v>
      </c>
      <c r="T184" s="33">
        <f t="shared" si="12"/>
        <v>132.91065057409114</v>
      </c>
      <c r="U184" s="33">
        <f t="shared" si="13"/>
        <v>216.79282475994833</v>
      </c>
      <c r="V184" s="33">
        <f t="shared" si="14"/>
        <v>177.79291876479343</v>
      </c>
      <c r="W184" s="33">
        <v>259.17387286289522</v>
      </c>
    </row>
    <row r="185" spans="10:23">
      <c r="J185" s="16"/>
      <c r="K185" s="38">
        <f t="shared" si="15"/>
        <v>-0.10977357382363219</v>
      </c>
      <c r="L185" s="38">
        <f t="shared" si="16"/>
        <v>2.0566258315083179E-2</v>
      </c>
      <c r="M185" s="38">
        <f t="shared" si="17"/>
        <v>2.4858250642742375E-2</v>
      </c>
      <c r="O185" s="32">
        <v>43830</v>
      </c>
      <c r="P185" s="33">
        <v>69.779998779296875</v>
      </c>
      <c r="Q185" s="33">
        <v>145.8699951171875</v>
      </c>
      <c r="R185" s="33">
        <v>45.860000610351563</v>
      </c>
      <c r="T185" s="33">
        <f t="shared" si="12"/>
        <v>136.12953777640649</v>
      </c>
      <c r="U185" s="33">
        <f t="shared" si="13"/>
        <v>230.00630610017146</v>
      </c>
      <c r="V185" s="33">
        <f t="shared" si="14"/>
        <v>208.26521188460072</v>
      </c>
      <c r="W185" s="33">
        <v>266.58360287807778</v>
      </c>
    </row>
    <row r="186" spans="10:23">
      <c r="J186" s="16"/>
      <c r="K186" s="38">
        <f t="shared" si="15"/>
        <v>-0.17192531372845826</v>
      </c>
      <c r="L186" s="38">
        <f t="shared" si="16"/>
        <v>-9.6661515830110137E-2</v>
      </c>
      <c r="M186" s="38">
        <f t="shared" si="17"/>
        <v>-3.2340435271567484E-2</v>
      </c>
      <c r="O186" s="32">
        <v>43861</v>
      </c>
      <c r="P186" s="33">
        <v>62.119998931884766</v>
      </c>
      <c r="Q186" s="33">
        <v>148.8699951171875</v>
      </c>
      <c r="R186" s="33">
        <v>47</v>
      </c>
      <c r="T186" s="33">
        <f t="shared" si="12"/>
        <v>121.1861119117312</v>
      </c>
      <c r="U186" s="33">
        <f t="shared" si="13"/>
        <v>234.73667520552567</v>
      </c>
      <c r="V186" s="33">
        <f t="shared" si="14"/>
        <v>213.44232072179196</v>
      </c>
      <c r="W186" s="33">
        <v>266.14958083041785</v>
      </c>
    </row>
    <row r="187" spans="10:23">
      <c r="J187" s="16"/>
      <c r="K187" s="38">
        <f t="shared" si="15"/>
        <v>-0.2618584324574979</v>
      </c>
      <c r="L187" s="38">
        <f t="shared" si="16"/>
        <v>-2.4910700112704905E-2</v>
      </c>
      <c r="M187" s="38">
        <f t="shared" si="17"/>
        <v>0</v>
      </c>
      <c r="O187" s="32">
        <v>43889</v>
      </c>
      <c r="P187" s="33">
        <v>51.439998626708984</v>
      </c>
      <c r="Q187" s="33">
        <v>134.47999572753906</v>
      </c>
      <c r="R187" s="33">
        <v>45.479999542236328</v>
      </c>
      <c r="T187" s="33">
        <f t="shared" si="12"/>
        <v>100.35115160177477</v>
      </c>
      <c r="U187" s="33">
        <f t="shared" si="13"/>
        <v>212.04667235923935</v>
      </c>
      <c r="V187" s="33">
        <f t="shared" si="14"/>
        <v>206.53950316427574</v>
      </c>
      <c r="W187" s="33">
        <v>243.76361476005013</v>
      </c>
    </row>
    <row r="188" spans="10:23">
      <c r="J188" s="16"/>
      <c r="K188" s="38">
        <f t="shared" si="15"/>
        <v>0.22386093565267992</v>
      </c>
      <c r="L188" s="38">
        <f t="shared" si="16"/>
        <v>0.14420794401875972</v>
      </c>
      <c r="M188" s="38">
        <f t="shared" si="17"/>
        <v>0.15193491462098491</v>
      </c>
      <c r="O188" s="32">
        <v>43921</v>
      </c>
      <c r="P188" s="33">
        <v>37.970001220703125</v>
      </c>
      <c r="Q188" s="33">
        <v>131.1300048828125</v>
      </c>
      <c r="R188" s="33">
        <v>45.479999542236328</v>
      </c>
      <c r="T188" s="33">
        <f t="shared" si="12"/>
        <v>74.073356348029293</v>
      </c>
      <c r="U188" s="33">
        <f t="shared" si="13"/>
        <v>206.76444129420136</v>
      </c>
      <c r="V188" s="33">
        <f t="shared" si="14"/>
        <v>206.53950316427574</v>
      </c>
      <c r="W188" s="33">
        <v>213.2640768367549</v>
      </c>
    </row>
    <row r="189" spans="10:23">
      <c r="J189" s="16"/>
      <c r="K189" s="38">
        <f t="shared" si="15"/>
        <v>-2.1519259172183624E-2</v>
      </c>
      <c r="L189" s="38">
        <f t="shared" si="16"/>
        <v>-8.5976629155983704E-3</v>
      </c>
      <c r="M189" s="38">
        <f t="shared" si="17"/>
        <v>2.6913530518015361E-2</v>
      </c>
      <c r="O189" s="32">
        <v>43951</v>
      </c>
      <c r="P189" s="33">
        <v>46.470001220703125</v>
      </c>
      <c r="Q189" s="33">
        <v>150.03999328613281</v>
      </c>
      <c r="R189" s="33">
        <v>52.389999389648438</v>
      </c>
      <c r="T189" s="33">
        <f t="shared" si="12"/>
        <v>90.655487207033516</v>
      </c>
      <c r="U189" s="33">
        <f t="shared" si="13"/>
        <v>236.58151626942566</v>
      </c>
      <c r="V189" s="33">
        <f t="shared" si="14"/>
        <v>237.9200649434006</v>
      </c>
      <c r="W189" s="33">
        <v>240.31536735098024</v>
      </c>
    </row>
    <row r="190" spans="10:23">
      <c r="J190" s="16"/>
      <c r="K190" s="38">
        <f t="shared" si="15"/>
        <v>-1.6494391463937646E-2</v>
      </c>
      <c r="L190" s="38">
        <f t="shared" si="16"/>
        <v>-5.4588202468487397E-2</v>
      </c>
      <c r="M190" s="38">
        <f t="shared" si="17"/>
        <v>-2.2118933895620665E-2</v>
      </c>
      <c r="O190" s="32">
        <v>43980</v>
      </c>
      <c r="P190" s="33">
        <v>45.470001220703125</v>
      </c>
      <c r="Q190" s="33">
        <v>148.75</v>
      </c>
      <c r="R190" s="33">
        <v>53.799999237060547</v>
      </c>
      <c r="T190" s="33">
        <f t="shared" si="12"/>
        <v>88.704648282444779</v>
      </c>
      <c r="U190" s="33">
        <f t="shared" si="13"/>
        <v>234.54746814047999</v>
      </c>
      <c r="V190" s="33">
        <f t="shared" si="14"/>
        <v>244.32333387210301</v>
      </c>
      <c r="W190" s="33">
        <v>251.19727374744207</v>
      </c>
    </row>
    <row r="191" spans="10:23">
      <c r="J191" s="16"/>
      <c r="K191" s="38">
        <f t="shared" si="15"/>
        <v>-5.9033974006830969E-2</v>
      </c>
      <c r="L191" s="38">
        <f t="shared" si="16"/>
        <v>3.6478627930776768E-2</v>
      </c>
      <c r="M191" s="38">
        <f t="shared" si="17"/>
        <v>0.47177341583114574</v>
      </c>
      <c r="O191" s="32">
        <v>44012</v>
      </c>
      <c r="P191" s="33">
        <v>44.720001220703125</v>
      </c>
      <c r="Q191" s="33">
        <v>140.6300048828125</v>
      </c>
      <c r="R191" s="33">
        <v>52.610000610351563</v>
      </c>
      <c r="T191" s="33">
        <f t="shared" si="12"/>
        <v>87.241519089003233</v>
      </c>
      <c r="U191" s="33">
        <f t="shared" si="13"/>
        <v>221.74394346115639</v>
      </c>
      <c r="V191" s="33">
        <f t="shared" si="14"/>
        <v>238.91916220102831</v>
      </c>
      <c r="W191" s="33">
        <v>255.81639052082645</v>
      </c>
    </row>
    <row r="192" spans="10:23">
      <c r="J192" s="16"/>
      <c r="K192" s="38">
        <f t="shared" si="15"/>
        <v>-5.0855587243971996E-2</v>
      </c>
      <c r="L192" s="38">
        <f t="shared" si="16"/>
        <v>5.2483599365906006E-2</v>
      </c>
      <c r="M192" s="38">
        <f t="shared" si="17"/>
        <v>0.17293038017401877</v>
      </c>
      <c r="O192" s="32">
        <v>44043</v>
      </c>
      <c r="P192" s="33">
        <v>42.080001831054688</v>
      </c>
      <c r="Q192" s="33">
        <v>145.75999450683594</v>
      </c>
      <c r="R192" s="33">
        <v>77.430000305175781</v>
      </c>
      <c r="T192" s="33">
        <f t="shared" si="12"/>
        <v>82.091305518786555</v>
      </c>
      <c r="U192" s="33">
        <f t="shared" si="13"/>
        <v>229.8328582705791</v>
      </c>
      <c r="V192" s="33">
        <f t="shared" si="14"/>
        <v>351.63487146012301</v>
      </c>
      <c r="W192" s="33">
        <v>269.91220542610074</v>
      </c>
    </row>
    <row r="193" spans="10:23">
      <c r="J193" s="16"/>
      <c r="K193" s="38">
        <f t="shared" si="15"/>
        <v>-0.14046061563714568</v>
      </c>
      <c r="L193" s="38">
        <f t="shared" si="16"/>
        <v>-2.9528705241897702E-2</v>
      </c>
      <c r="M193" s="38">
        <f t="shared" si="17"/>
        <v>-9.7225301263218392E-2</v>
      </c>
      <c r="O193" s="32">
        <v>44074</v>
      </c>
      <c r="P193" s="33">
        <v>39.939998626708984</v>
      </c>
      <c r="Q193" s="33">
        <v>153.41000366210938</v>
      </c>
      <c r="R193" s="33">
        <v>90.819999694824219</v>
      </c>
      <c r="T193" s="33">
        <f t="shared" si="12"/>
        <v>77.916503969004353</v>
      </c>
      <c r="U193" s="33">
        <f t="shared" si="13"/>
        <v>241.89531392517321</v>
      </c>
      <c r="V193" s="33">
        <f t="shared" si="14"/>
        <v>412.44322346416425</v>
      </c>
      <c r="W193" s="33">
        <v>288.82351970427089</v>
      </c>
    </row>
    <row r="194" spans="10:23">
      <c r="J194" s="16"/>
      <c r="K194" s="38">
        <f t="shared" si="15"/>
        <v>-4.9810743022537934E-2</v>
      </c>
      <c r="L194" s="38">
        <f t="shared" si="16"/>
        <v>-7.905698472891258E-2</v>
      </c>
      <c r="M194" s="38">
        <f t="shared" si="17"/>
        <v>-8.1717247503464582E-2</v>
      </c>
      <c r="O194" s="32">
        <v>44104</v>
      </c>
      <c r="P194" s="33">
        <v>34.330001831054688</v>
      </c>
      <c r="Q194" s="33">
        <v>148.8800048828125</v>
      </c>
      <c r="R194" s="33">
        <v>81.989997863769531</v>
      </c>
      <c r="T194" s="33">
        <f t="shared" si="12"/>
        <v>66.972303853223906</v>
      </c>
      <c r="U194" s="33">
        <f t="shared" si="13"/>
        <v>234.75245850088049</v>
      </c>
      <c r="V194" s="33">
        <f t="shared" si="14"/>
        <v>372.34330680888797</v>
      </c>
      <c r="W194" s="33">
        <v>277.49356393161264</v>
      </c>
    </row>
    <row r="195" spans="10:23">
      <c r="J195" s="16"/>
      <c r="K195" s="38">
        <f t="shared" si="15"/>
        <v>0.16891484723025721</v>
      </c>
      <c r="L195" s="38">
        <f t="shared" si="16"/>
        <v>5.521108622078269E-2</v>
      </c>
      <c r="M195" s="38">
        <f t="shared" si="17"/>
        <v>0.23070796301451166</v>
      </c>
      <c r="O195" s="32">
        <v>44134</v>
      </c>
      <c r="P195" s="33">
        <v>32.619998931884766</v>
      </c>
      <c r="Q195" s="33">
        <v>137.11000061035156</v>
      </c>
      <c r="R195" s="33">
        <v>75.290000915527344</v>
      </c>
      <c r="T195" s="33">
        <f t="shared" si="12"/>
        <v>63.636363636363633</v>
      </c>
      <c r="U195" s="33">
        <f t="shared" si="13"/>
        <v>216.19363697410168</v>
      </c>
      <c r="V195" s="33">
        <f t="shared" si="14"/>
        <v>341.91643665012765</v>
      </c>
      <c r="W195" s="33">
        <v>269.81648953726318</v>
      </c>
    </row>
    <row r="196" spans="10:23">
      <c r="J196" s="16"/>
      <c r="K196" s="38">
        <f t="shared" si="15"/>
        <v>8.1038554052698039E-2</v>
      </c>
      <c r="L196" s="38">
        <f t="shared" si="16"/>
        <v>8.7780016933586502E-2</v>
      </c>
      <c r="M196" s="38">
        <f t="shared" si="17"/>
        <v>-1.025258515098889E-2</v>
      </c>
      <c r="O196" s="32">
        <v>44165</v>
      </c>
      <c r="P196" s="33">
        <v>38.130001068115234</v>
      </c>
      <c r="Q196" s="33">
        <v>144.67999267578125</v>
      </c>
      <c r="R196" s="33">
        <v>92.660003662109375</v>
      </c>
      <c r="T196" s="33">
        <f t="shared" si="12"/>
        <v>74.385490278289097</v>
      </c>
      <c r="U196" s="33">
        <f t="shared" si="13"/>
        <v>228.12992250546341</v>
      </c>
      <c r="V196" s="33">
        <f t="shared" si="14"/>
        <v>420.79928127085896</v>
      </c>
      <c r="W196" s="33">
        <v>298.83408145752196</v>
      </c>
    </row>
    <row r="197" spans="10:23">
      <c r="J197" s="16"/>
      <c r="K197" s="38">
        <f t="shared" si="15"/>
        <v>8.7821417386726996E-2</v>
      </c>
      <c r="L197" s="38">
        <f t="shared" si="16"/>
        <v>3.6535772154039109E-2</v>
      </c>
      <c r="M197" s="38">
        <f t="shared" si="17"/>
        <v>-6.6186890801658779E-2</v>
      </c>
      <c r="O197" s="32">
        <v>44196</v>
      </c>
      <c r="P197" s="33">
        <v>41.220001220703125</v>
      </c>
      <c r="Q197" s="33">
        <v>157.3800048828125</v>
      </c>
      <c r="R197" s="33">
        <v>91.709999084472656</v>
      </c>
      <c r="T197" s="33">
        <f t="shared" ref="T197:T245" si="18">P197/$P$5*100</f>
        <v>80.413582852942668</v>
      </c>
      <c r="U197" s="33">
        <f t="shared" ref="U197:U245" si="19">Q197/$Q$5*100</f>
        <v>248.15517096605078</v>
      </c>
      <c r="V197" s="33">
        <f t="shared" ref="V197:V245" si="20">R197/$R$5*100</f>
        <v>416.4850008081545</v>
      </c>
      <c r="W197" s="33">
        <v>309.92722291900458</v>
      </c>
    </row>
    <row r="198" spans="10:23">
      <c r="J198" s="16"/>
      <c r="K198" s="38">
        <f t="shared" ref="K198:K244" si="21">(P199-P198)/P198</f>
        <v>0.21253342432798503</v>
      </c>
      <c r="L198" s="38">
        <f t="shared" ref="L198:L244" si="22">(Q199-Q198)/Q198</f>
        <v>-2.8627462938532328E-2</v>
      </c>
      <c r="M198" s="38">
        <f t="shared" ref="M198:M244" si="23">(R199-R198)/R198</f>
        <v>-1.3194736822412389E-2</v>
      </c>
      <c r="O198" s="32">
        <v>44225</v>
      </c>
      <c r="P198" s="33">
        <v>44.840000152587891</v>
      </c>
      <c r="Q198" s="33">
        <v>163.1300048828125</v>
      </c>
      <c r="R198" s="33">
        <v>85.639999389648438</v>
      </c>
      <c r="T198" s="33">
        <f t="shared" si="18"/>
        <v>87.475617676233114</v>
      </c>
      <c r="U198" s="33">
        <f t="shared" si="19"/>
        <v>257.22171175131302</v>
      </c>
      <c r="V198" s="33">
        <f t="shared" si="20"/>
        <v>388.91915353913646</v>
      </c>
      <c r="W198" s="33">
        <v>306.47567496204368</v>
      </c>
    </row>
    <row r="199" spans="10:23">
      <c r="J199" s="16"/>
      <c r="K199" s="38">
        <f t="shared" si="21"/>
        <v>2.6853097808573197E-2</v>
      </c>
      <c r="L199" s="38">
        <f t="shared" si="22"/>
        <v>3.7170258362313892E-2</v>
      </c>
      <c r="M199" s="38">
        <f t="shared" si="23"/>
        <v>-7.1115867758970358E-2</v>
      </c>
      <c r="O199" s="32">
        <v>44253</v>
      </c>
      <c r="P199" s="33">
        <v>54.369998931884766</v>
      </c>
      <c r="Q199" s="33">
        <v>158.46000671386719</v>
      </c>
      <c r="R199" s="33">
        <v>84.510002136230469</v>
      </c>
      <c r="T199" s="33">
        <f t="shared" si="18"/>
        <v>106.06711024616855</v>
      </c>
      <c r="U199" s="33">
        <f t="shared" si="19"/>
        <v>249.85810673116643</v>
      </c>
      <c r="V199" s="33">
        <f t="shared" si="20"/>
        <v>383.78746766299213</v>
      </c>
      <c r="W199" s="33">
        <v>314.47207736484262</v>
      </c>
    </row>
    <row r="200" spans="10:23">
      <c r="J200" s="16"/>
      <c r="K200" s="38">
        <f t="shared" si="21"/>
        <v>2.525523555737761E-2</v>
      </c>
      <c r="L200" s="38">
        <f t="shared" si="22"/>
        <v>-9.8570752407286261E-3</v>
      </c>
      <c r="M200" s="38">
        <f t="shared" si="23"/>
        <v>3.974525791824244E-2</v>
      </c>
      <c r="O200" s="32">
        <v>44286</v>
      </c>
      <c r="P200" s="33">
        <v>55.830001831054688</v>
      </c>
      <c r="Q200" s="33">
        <v>164.35000610351563</v>
      </c>
      <c r="R200" s="33">
        <v>78.5</v>
      </c>
      <c r="T200" s="33">
        <f t="shared" si="18"/>
        <v>108.91534073188163</v>
      </c>
      <c r="U200" s="33">
        <f t="shared" si="19"/>
        <v>259.14539711228252</v>
      </c>
      <c r="V200" s="33">
        <f t="shared" si="20"/>
        <v>356.49408886512066</v>
      </c>
      <c r="W200" s="33">
        <v>327.81784276189853</v>
      </c>
    </row>
    <row r="201" spans="10:23">
      <c r="J201" s="16"/>
      <c r="K201" s="38">
        <f t="shared" si="21"/>
        <v>1.9741390990263792E-2</v>
      </c>
      <c r="L201" s="38">
        <f t="shared" si="22"/>
        <v>4.0066394909623576E-2</v>
      </c>
      <c r="M201" s="38">
        <f t="shared" si="23"/>
        <v>-1.8867935110328502E-2</v>
      </c>
      <c r="O201" s="32">
        <v>44316</v>
      </c>
      <c r="P201" s="33">
        <v>57.240001678466797</v>
      </c>
      <c r="Q201" s="33">
        <v>162.72999572753906</v>
      </c>
      <c r="R201" s="33">
        <v>81.620002746582031</v>
      </c>
      <c r="T201" s="33">
        <f t="shared" si="18"/>
        <v>111.66602331787733</v>
      </c>
      <c r="U201" s="33">
        <f t="shared" si="19"/>
        <v>256.59098143465826</v>
      </c>
      <c r="V201" s="33">
        <f t="shared" si="20"/>
        <v>370.6630383733937</v>
      </c>
      <c r="W201" s="33">
        <v>345.00379563007471</v>
      </c>
    </row>
    <row r="202" spans="10:23">
      <c r="J202" s="16"/>
      <c r="K202" s="38">
        <f t="shared" si="21"/>
        <v>8.0692187516849007E-2</v>
      </c>
      <c r="L202" s="38">
        <f t="shared" si="22"/>
        <v>-2.6646939479089735E-2</v>
      </c>
      <c r="M202" s="38">
        <f t="shared" si="23"/>
        <v>0.17295202494301296</v>
      </c>
      <c r="O202" s="32">
        <v>44344</v>
      </c>
      <c r="P202" s="33">
        <v>58.369998931884766</v>
      </c>
      <c r="Q202" s="33">
        <v>169.25</v>
      </c>
      <c r="R202" s="33">
        <v>80.080001831054688</v>
      </c>
      <c r="T202" s="33">
        <f t="shared" si="18"/>
        <v>113.87046594452346</v>
      </c>
      <c r="U202" s="33">
        <f t="shared" si="19"/>
        <v>266.87165702706716</v>
      </c>
      <c r="V202" s="33">
        <f t="shared" si="20"/>
        <v>363.66939221756735</v>
      </c>
      <c r="W202" s="33">
        <v>346.89665984553443</v>
      </c>
    </row>
    <row r="203" spans="10:23">
      <c r="J203" s="16"/>
      <c r="K203" s="38">
        <f t="shared" si="21"/>
        <v>-8.7349428920242347E-2</v>
      </c>
      <c r="L203" s="38">
        <f t="shared" si="22"/>
        <v>4.5283423614962057E-2</v>
      </c>
      <c r="M203" s="38">
        <f t="shared" si="23"/>
        <v>0.13052275201105171</v>
      </c>
      <c r="O203" s="32">
        <v>44377</v>
      </c>
      <c r="P203" s="33">
        <v>63.080001831054688</v>
      </c>
      <c r="Q203" s="33">
        <v>164.74000549316406</v>
      </c>
      <c r="R203" s="33">
        <v>93.930000305175781</v>
      </c>
      <c r="T203" s="33">
        <f t="shared" si="18"/>
        <v>123.05892293514992</v>
      </c>
      <c r="U203" s="33">
        <f t="shared" si="19"/>
        <v>259.76034413358252</v>
      </c>
      <c r="V203" s="33">
        <f t="shared" si="20"/>
        <v>426.56675001139035</v>
      </c>
      <c r="W203" s="33">
        <v>354.60261403392968</v>
      </c>
    </row>
    <row r="204" spans="10:23">
      <c r="J204" s="16"/>
      <c r="K204" s="38">
        <f t="shared" si="21"/>
        <v>-5.297896913719724E-2</v>
      </c>
      <c r="L204" s="38">
        <f t="shared" si="22"/>
        <v>5.4007430374684801E-3</v>
      </c>
      <c r="M204" s="38">
        <f t="shared" si="23"/>
        <v>4.2659371646558232E-2</v>
      </c>
      <c r="O204" s="32">
        <v>44407</v>
      </c>
      <c r="P204" s="33">
        <v>57.569999694824219</v>
      </c>
      <c r="Q204" s="33">
        <v>172.19999694824219</v>
      </c>
      <c r="R204" s="33">
        <v>106.19000244140625</v>
      </c>
      <c r="T204" s="33">
        <f t="shared" si="18"/>
        <v>112.30979629322447</v>
      </c>
      <c r="U204" s="33">
        <f t="shared" si="19"/>
        <v>271.52318183535186</v>
      </c>
      <c r="V204" s="33">
        <f t="shared" si="20"/>
        <v>482.24341613928738</v>
      </c>
      <c r="W204" s="33">
        <v>362.66915307941127</v>
      </c>
    </row>
    <row r="205" spans="10:23">
      <c r="J205" s="16"/>
      <c r="K205" s="38">
        <f t="shared" si="21"/>
        <v>7.8870124742418724E-2</v>
      </c>
      <c r="L205" s="38">
        <f t="shared" si="22"/>
        <v>-6.7174981544559934E-2</v>
      </c>
      <c r="M205" s="38">
        <f t="shared" si="23"/>
        <v>-7.0628609181788787E-2</v>
      </c>
      <c r="O205" s="32">
        <v>44439</v>
      </c>
      <c r="P205" s="33">
        <v>54.520000457763672</v>
      </c>
      <c r="Q205" s="33">
        <v>173.1300048828125</v>
      </c>
      <c r="R205" s="33">
        <v>110.72000122070313</v>
      </c>
      <c r="T205" s="33">
        <f t="shared" si="18"/>
        <v>106.35973906160081</v>
      </c>
      <c r="U205" s="33">
        <f t="shared" si="19"/>
        <v>272.98960876916038</v>
      </c>
      <c r="V205" s="33">
        <f t="shared" si="20"/>
        <v>502.81561725247911</v>
      </c>
      <c r="W205" s="33">
        <v>373.18304838603223</v>
      </c>
    </row>
    <row r="206" spans="10:23">
      <c r="J206" s="16"/>
      <c r="K206" s="38">
        <f t="shared" si="21"/>
        <v>9.6055789785664855E-2</v>
      </c>
      <c r="L206" s="38">
        <f t="shared" si="22"/>
        <v>8.544921875E-3</v>
      </c>
      <c r="M206" s="38">
        <f t="shared" si="23"/>
        <v>0.16841595310080018</v>
      </c>
      <c r="O206" s="32">
        <v>44469</v>
      </c>
      <c r="P206" s="33">
        <v>58.819999694824219</v>
      </c>
      <c r="Q206" s="33">
        <v>161.5</v>
      </c>
      <c r="R206" s="33">
        <v>102.90000152587891</v>
      </c>
      <c r="T206" s="33">
        <f t="shared" si="18"/>
        <v>114.74834494896038</v>
      </c>
      <c r="U206" s="33">
        <f t="shared" si="19"/>
        <v>254.65153683823542</v>
      </c>
      <c r="V206" s="33">
        <f t="shared" si="20"/>
        <v>467.30244953105381</v>
      </c>
      <c r="W206" s="33">
        <v>355.43105155455817</v>
      </c>
    </row>
    <row r="207" spans="10:23">
      <c r="J207" s="16"/>
      <c r="K207" s="38">
        <f t="shared" si="21"/>
        <v>-7.1816363897142466E-2</v>
      </c>
      <c r="L207" s="38">
        <f t="shared" si="22"/>
        <v>-4.2669523567558737E-2</v>
      </c>
      <c r="M207" s="38">
        <f t="shared" si="23"/>
        <v>0.31722524074981151</v>
      </c>
      <c r="O207" s="32">
        <v>44498</v>
      </c>
      <c r="P207" s="33">
        <v>64.470001220703125</v>
      </c>
      <c r="Q207" s="33">
        <v>162.8800048828125</v>
      </c>
      <c r="R207" s="33">
        <v>120.23000335693359</v>
      </c>
      <c r="T207" s="33">
        <f t="shared" si="18"/>
        <v>125.77058784963067</v>
      </c>
      <c r="U207" s="33">
        <f t="shared" si="19"/>
        <v>256.82751432586684</v>
      </c>
      <c r="V207" s="33">
        <f t="shared" si="20"/>
        <v>546.00363695516489</v>
      </c>
      <c r="W207" s="33">
        <v>380.00693115057112</v>
      </c>
    </row>
    <row r="208" spans="10:23">
      <c r="J208" s="16"/>
      <c r="K208" s="38">
        <f t="shared" si="21"/>
        <v>2.2560134870967419E-2</v>
      </c>
      <c r="L208" s="38">
        <f t="shared" si="22"/>
        <v>9.7094948756378793E-2</v>
      </c>
      <c r="M208" s="38">
        <f t="shared" si="23"/>
        <v>-9.1368325231025602E-2</v>
      </c>
      <c r="O208" s="32">
        <v>44530</v>
      </c>
      <c r="P208" s="33">
        <v>59.840000152587891</v>
      </c>
      <c r="Q208" s="33">
        <v>155.92999267578125</v>
      </c>
      <c r="R208" s="33">
        <v>158.3699951171875</v>
      </c>
      <c r="T208" s="33">
        <f t="shared" si="18"/>
        <v>116.73820154506407</v>
      </c>
      <c r="U208" s="33">
        <f t="shared" si="19"/>
        <v>245.86880665054173</v>
      </c>
      <c r="V208" s="33">
        <f t="shared" si="20"/>
        <v>719.20977213853973</v>
      </c>
      <c r="W208" s="33">
        <v>376.84005544920467</v>
      </c>
    </row>
    <row r="209" spans="10:23">
      <c r="J209" s="16"/>
      <c r="K209" s="38">
        <f t="shared" si="21"/>
        <v>0.24137932324313985</v>
      </c>
      <c r="L209" s="38">
        <f t="shared" si="22"/>
        <v>7.1315011964773935E-3</v>
      </c>
      <c r="M209" s="38">
        <f t="shared" si="23"/>
        <v>-0.20604583150860548</v>
      </c>
      <c r="O209" s="32">
        <v>44561</v>
      </c>
      <c r="P209" s="33">
        <v>61.189998626708984</v>
      </c>
      <c r="Q209" s="33">
        <v>171.07000732421875</v>
      </c>
      <c r="R209" s="33">
        <v>143.89999389648438</v>
      </c>
      <c r="T209" s="33">
        <f t="shared" si="18"/>
        <v>119.3718311165149</v>
      </c>
      <c r="U209" s="33">
        <f t="shared" si="19"/>
        <v>269.74142583306804</v>
      </c>
      <c r="V209" s="33">
        <f t="shared" si="20"/>
        <v>653.49677976845385</v>
      </c>
      <c r="W209" s="33">
        <v>393.27513367218972</v>
      </c>
    </row>
    <row r="210" spans="10:23">
      <c r="J210" s="16"/>
      <c r="K210" s="38">
        <f t="shared" si="21"/>
        <v>3.2385454372333138E-2</v>
      </c>
      <c r="L210" s="38">
        <f t="shared" si="22"/>
        <v>-4.4808092534387632E-2</v>
      </c>
      <c r="M210" s="38">
        <f t="shared" si="23"/>
        <v>7.956233118503829E-2</v>
      </c>
      <c r="O210" s="32">
        <v>44592</v>
      </c>
      <c r="P210" s="33">
        <v>75.959999084472656</v>
      </c>
      <c r="Q210" s="33">
        <v>172.28999328613281</v>
      </c>
      <c r="R210" s="33">
        <v>114.25</v>
      </c>
      <c r="T210" s="33">
        <f t="shared" si="18"/>
        <v>148.18572292571363</v>
      </c>
      <c r="U210" s="33">
        <f t="shared" si="19"/>
        <v>271.66508713413612</v>
      </c>
      <c r="V210" s="33">
        <f t="shared" si="20"/>
        <v>518.84649239286671</v>
      </c>
      <c r="W210" s="33">
        <v>372.59472572447038</v>
      </c>
    </row>
    <row r="211" spans="10:23">
      <c r="J211" s="16"/>
      <c r="K211" s="38">
        <f t="shared" si="21"/>
        <v>5.3175188297781055E-2</v>
      </c>
      <c r="L211" s="38">
        <f t="shared" si="22"/>
        <v>7.6927677218722595E-2</v>
      </c>
      <c r="M211" s="38">
        <f t="shared" si="23"/>
        <v>-0.11350738134973606</v>
      </c>
      <c r="O211" s="32">
        <v>44620</v>
      </c>
      <c r="P211" s="33">
        <v>78.419998168945313</v>
      </c>
      <c r="Q211" s="33">
        <v>164.57000732421875</v>
      </c>
      <c r="R211" s="33">
        <v>123.33999633789063</v>
      </c>
      <c r="T211" s="33">
        <f t="shared" si="18"/>
        <v>152.98478489415555</v>
      </c>
      <c r="U211" s="33">
        <f t="shared" si="19"/>
        <v>259.49229277146725</v>
      </c>
      <c r="V211" s="33">
        <f t="shared" si="20"/>
        <v>560.12712885482335</v>
      </c>
      <c r="W211" s="33">
        <v>360.90996105353497</v>
      </c>
    </row>
    <row r="212" spans="10:23">
      <c r="J212" s="16"/>
      <c r="K212" s="38">
        <f t="shared" si="21"/>
        <v>3.2207334786973699E-2</v>
      </c>
      <c r="L212" s="38">
        <f t="shared" si="22"/>
        <v>1.8224967918487777E-2</v>
      </c>
      <c r="M212" s="38">
        <f t="shared" si="23"/>
        <v>-0.21785257447068021</v>
      </c>
      <c r="O212" s="32">
        <v>44651</v>
      </c>
      <c r="P212" s="33">
        <v>82.589996337890625</v>
      </c>
      <c r="Q212" s="33">
        <v>177.22999572753906</v>
      </c>
      <c r="R212" s="33">
        <v>109.33999633789063</v>
      </c>
      <c r="T212" s="33">
        <f t="shared" si="18"/>
        <v>161.11977963759782</v>
      </c>
      <c r="U212" s="33">
        <f t="shared" si="19"/>
        <v>279.45443211053697</v>
      </c>
      <c r="V212" s="33">
        <f t="shared" si="20"/>
        <v>496.54856523556623</v>
      </c>
      <c r="W212" s="33">
        <v>373.8208792659583</v>
      </c>
    </row>
    <row r="213" spans="10:23">
      <c r="J213" s="16"/>
      <c r="K213" s="38">
        <f t="shared" si="21"/>
        <v>0.12609970674486803</v>
      </c>
      <c r="L213" s="38">
        <f t="shared" si="22"/>
        <v>-5.1535403965982862E-3</v>
      </c>
      <c r="M213" s="38">
        <f t="shared" si="23"/>
        <v>0.19106647110246272</v>
      </c>
      <c r="O213" s="32">
        <v>44680</v>
      </c>
      <c r="P213" s="33">
        <v>85.25</v>
      </c>
      <c r="Q213" s="33">
        <v>180.46000671386719</v>
      </c>
      <c r="R213" s="33">
        <v>85.519996643066406</v>
      </c>
      <c r="T213" s="33">
        <f t="shared" si="18"/>
        <v>166.30901832118934</v>
      </c>
      <c r="U213" s="33">
        <f t="shared" si="19"/>
        <v>284.54748017043073</v>
      </c>
      <c r="V213" s="33">
        <f t="shared" si="20"/>
        <v>388.37418194927562</v>
      </c>
      <c r="W213" s="33">
        <v>340.94082117631547</v>
      </c>
    </row>
    <row r="214" spans="10:23">
      <c r="J214" s="16"/>
      <c r="K214" s="38">
        <f t="shared" si="21"/>
        <v>-0.10791667302449544</v>
      </c>
      <c r="L214" s="38">
        <f t="shared" si="22"/>
        <v>-1.1251625278203262E-2</v>
      </c>
      <c r="M214" s="38">
        <f t="shared" si="23"/>
        <v>-0.24926368778234789</v>
      </c>
      <c r="O214" s="32">
        <v>44712</v>
      </c>
      <c r="P214" s="33">
        <v>96</v>
      </c>
      <c r="Q214" s="33">
        <v>179.52999877929688</v>
      </c>
      <c r="R214" s="33">
        <v>101.86000061035156</v>
      </c>
      <c r="T214" s="33">
        <f t="shared" si="18"/>
        <v>187.2805367605182</v>
      </c>
      <c r="U214" s="33">
        <f t="shared" si="19"/>
        <v>283.08105323662215</v>
      </c>
      <c r="V214" s="33">
        <f t="shared" si="20"/>
        <v>462.5794663616295</v>
      </c>
      <c r="W214" s="33">
        <v>340.95897418971566</v>
      </c>
    </row>
    <row r="215" spans="10:23">
      <c r="J215" s="16"/>
      <c r="K215" s="38">
        <f t="shared" si="21"/>
        <v>0.13183093176074917</v>
      </c>
      <c r="L215" s="38">
        <f t="shared" si="22"/>
        <v>-1.6844066964690572E-2</v>
      </c>
      <c r="M215" s="38">
        <f t="shared" si="23"/>
        <v>0.23538642229191917</v>
      </c>
      <c r="O215" s="32">
        <v>44742</v>
      </c>
      <c r="P215" s="33">
        <v>85.639999389648438</v>
      </c>
      <c r="Q215" s="33">
        <v>177.50999450683594</v>
      </c>
      <c r="R215" s="33">
        <v>76.470001220703125</v>
      </c>
      <c r="T215" s="33">
        <f t="shared" si="18"/>
        <v>167.06984431108137</v>
      </c>
      <c r="U215" s="33">
        <f t="shared" si="19"/>
        <v>279.89593130224455</v>
      </c>
      <c r="V215" s="33">
        <f t="shared" si="20"/>
        <v>347.2752026839392</v>
      </c>
      <c r="W215" s="33">
        <v>312.34569938609826</v>
      </c>
    </row>
    <row r="216" spans="10:23">
      <c r="J216" s="16"/>
      <c r="K216" s="38">
        <f t="shared" si="21"/>
        <v>-1.38244502534434E-2</v>
      </c>
      <c r="L216" s="38">
        <f t="shared" si="22"/>
        <v>-7.5521473824821023E-2</v>
      </c>
      <c r="M216" s="38">
        <f t="shared" si="23"/>
        <v>-0.10161954430055889</v>
      </c>
      <c r="O216" s="32">
        <v>44771</v>
      </c>
      <c r="P216" s="33">
        <v>96.930000305175781</v>
      </c>
      <c r="Q216" s="33">
        <v>174.52000427246094</v>
      </c>
      <c r="R216" s="33">
        <v>94.470001220703125</v>
      </c>
      <c r="T216" s="33">
        <f t="shared" si="18"/>
        <v>189.09481755573452</v>
      </c>
      <c r="U216" s="33">
        <f t="shared" si="19"/>
        <v>275.1813454922451</v>
      </c>
      <c r="V216" s="33">
        <f t="shared" si="20"/>
        <v>429.01907019441268</v>
      </c>
      <c r="W216" s="33">
        <v>340.80549871278646</v>
      </c>
    </row>
    <row r="217" spans="10:23">
      <c r="J217" s="16"/>
      <c r="K217" s="38">
        <f t="shared" si="21"/>
        <v>-8.6619929872460852E-2</v>
      </c>
      <c r="L217" s="38">
        <f t="shared" si="22"/>
        <v>1.2520170560996476E-2</v>
      </c>
      <c r="M217" s="38">
        <f t="shared" si="23"/>
        <v>-0.25344646447648123</v>
      </c>
      <c r="O217" s="32">
        <v>44804</v>
      </c>
      <c r="P217" s="33">
        <v>95.589996337890625</v>
      </c>
      <c r="Q217" s="33">
        <v>161.33999633789063</v>
      </c>
      <c r="R217" s="33">
        <v>84.870002746582031</v>
      </c>
      <c r="T217" s="33">
        <f t="shared" si="18"/>
        <v>186.48068565725131</v>
      </c>
      <c r="U217" s="33">
        <f t="shared" si="19"/>
        <v>254.39924471157349</v>
      </c>
      <c r="V217" s="33">
        <f t="shared" si="20"/>
        <v>385.42234778500699</v>
      </c>
      <c r="W217" s="33">
        <v>326.34167271767126</v>
      </c>
    </row>
    <row r="218" spans="10:23">
      <c r="J218" s="16"/>
      <c r="K218" s="38">
        <f t="shared" si="21"/>
        <v>0.26915588886861608</v>
      </c>
      <c r="L218" s="38">
        <f t="shared" si="22"/>
        <v>6.4948583317275307E-2</v>
      </c>
      <c r="M218" s="38">
        <f t="shared" si="23"/>
        <v>-5.2083320790268478E-2</v>
      </c>
      <c r="O218" s="32">
        <v>44834</v>
      </c>
      <c r="P218" s="33">
        <v>87.30999755859375</v>
      </c>
      <c r="Q218" s="33">
        <v>163.36000061035156</v>
      </c>
      <c r="R218" s="33">
        <v>63.360000610351563</v>
      </c>
      <c r="T218" s="33">
        <f t="shared" si="18"/>
        <v>170.32774174305177</v>
      </c>
      <c r="U218" s="33">
        <f t="shared" si="19"/>
        <v>257.58436664595109</v>
      </c>
      <c r="V218" s="33">
        <f t="shared" si="20"/>
        <v>287.73841640867221</v>
      </c>
      <c r="W218" s="33">
        <v>295.8627632186944</v>
      </c>
    </row>
    <row r="219" spans="10:23">
      <c r="J219" s="16"/>
      <c r="K219" s="38">
        <f t="shared" si="21"/>
        <v>4.782950915747688E-3</v>
      </c>
      <c r="L219" s="38">
        <f t="shared" si="22"/>
        <v>2.3164906311544529E-2</v>
      </c>
      <c r="M219" s="38">
        <f t="shared" si="23"/>
        <v>0.29254071725580111</v>
      </c>
      <c r="O219" s="32">
        <v>44865</v>
      </c>
      <c r="P219" s="33">
        <v>110.80999755859375</v>
      </c>
      <c r="Q219" s="33">
        <v>173.97000122070313</v>
      </c>
      <c r="R219" s="33">
        <v>60.060001373291016</v>
      </c>
      <c r="T219" s="33">
        <f t="shared" si="18"/>
        <v>216.17245647088694</v>
      </c>
      <c r="U219" s="33">
        <f t="shared" si="19"/>
        <v>274.31410634428323</v>
      </c>
      <c r="V219" s="33">
        <f t="shared" si="20"/>
        <v>272.75204416317547</v>
      </c>
      <c r="W219" s="33">
        <v>319.4913855700047</v>
      </c>
    </row>
    <row r="220" spans="10:23">
      <c r="J220" s="16"/>
      <c r="K220" s="38">
        <f t="shared" si="21"/>
        <v>-9.3406980450823629E-3</v>
      </c>
      <c r="L220" s="38">
        <f t="shared" si="22"/>
        <v>-7.5843039523349719E-3</v>
      </c>
      <c r="M220" s="38">
        <f t="shared" si="23"/>
        <v>-0.16565762031874026</v>
      </c>
      <c r="O220" s="32">
        <v>44895</v>
      </c>
      <c r="P220" s="33">
        <v>111.33999633789063</v>
      </c>
      <c r="Q220" s="33">
        <v>178</v>
      </c>
      <c r="R220" s="33">
        <v>77.629997253417969</v>
      </c>
      <c r="T220" s="33">
        <f t="shared" si="18"/>
        <v>217.2063987195238</v>
      </c>
      <c r="U220" s="33">
        <f t="shared" si="19"/>
        <v>280.66856691768362</v>
      </c>
      <c r="V220" s="33">
        <f t="shared" si="20"/>
        <v>352.54312279565681</v>
      </c>
      <c r="W220" s="33">
        <v>336.66496138358974</v>
      </c>
    </row>
    <row r="221" spans="10:23">
      <c r="J221" s="16"/>
      <c r="K221" s="38">
        <f t="shared" si="21"/>
        <v>5.1767895979053263E-2</v>
      </c>
      <c r="L221" s="38">
        <f t="shared" si="22"/>
        <v>-7.4893836312792311E-2</v>
      </c>
      <c r="M221" s="38">
        <f t="shared" si="23"/>
        <v>0.16025946303524588</v>
      </c>
      <c r="O221" s="32">
        <v>44925</v>
      </c>
      <c r="P221" s="33">
        <v>110.30000305175781</v>
      </c>
      <c r="Q221" s="33">
        <v>176.64999389648438</v>
      </c>
      <c r="R221" s="33">
        <v>64.769996643066406</v>
      </c>
      <c r="T221" s="33">
        <f t="shared" si="18"/>
        <v>215.177539335625</v>
      </c>
      <c r="U221" s="33">
        <f t="shared" si="19"/>
        <v>278.53989119631365</v>
      </c>
      <c r="V221" s="33">
        <f t="shared" si="20"/>
        <v>294.1416680135909</v>
      </c>
      <c r="W221" s="33">
        <v>316.81134068255335</v>
      </c>
    </row>
    <row r="222" spans="10:23">
      <c r="J222" s="16"/>
      <c r="K222" s="38">
        <f t="shared" si="21"/>
        <v>-5.2581659872377812E-2</v>
      </c>
      <c r="L222" s="38">
        <f t="shared" si="22"/>
        <v>-6.217111599527652E-2</v>
      </c>
      <c r="M222" s="38">
        <f t="shared" si="23"/>
        <v>4.5642052369015786E-2</v>
      </c>
      <c r="O222" s="32">
        <v>44957</v>
      </c>
      <c r="P222" s="33">
        <v>116.01000213623047</v>
      </c>
      <c r="Q222" s="33">
        <v>163.41999816894531</v>
      </c>
      <c r="R222" s="33">
        <v>75.150001525878906</v>
      </c>
      <c r="T222" s="33">
        <f t="shared" si="18"/>
        <v>226.31682780898026</v>
      </c>
      <c r="U222" s="33">
        <f t="shared" si="19"/>
        <v>257.67897017847395</v>
      </c>
      <c r="V222" s="33">
        <f t="shared" si="20"/>
        <v>341.28065378574047</v>
      </c>
      <c r="W222" s="33">
        <v>336.37533830615882</v>
      </c>
    </row>
    <row r="223" spans="10:23">
      <c r="J223" s="16"/>
      <c r="K223" s="38">
        <f t="shared" si="21"/>
        <v>-2.274588223730408E-3</v>
      </c>
      <c r="L223" s="38">
        <f t="shared" si="22"/>
        <v>1.1353292154049061E-2</v>
      </c>
      <c r="M223" s="38">
        <f t="shared" si="23"/>
        <v>0.24726393296541102</v>
      </c>
      <c r="O223" s="32">
        <v>44985</v>
      </c>
      <c r="P223" s="33">
        <v>109.91000366210938</v>
      </c>
      <c r="Q223" s="33">
        <v>153.25999450683594</v>
      </c>
      <c r="R223" s="33">
        <v>78.580001831054688</v>
      </c>
      <c r="T223" s="33">
        <f t="shared" si="18"/>
        <v>214.41671334573294</v>
      </c>
      <c r="U223" s="33">
        <f t="shared" si="19"/>
        <v>241.65878103396463</v>
      </c>
      <c r="V223" s="33">
        <f t="shared" si="20"/>
        <v>356.85740325836116</v>
      </c>
      <c r="W223" s="33">
        <v>327.59175523136844</v>
      </c>
    </row>
    <row r="224" spans="10:23">
      <c r="J224" s="16"/>
      <c r="K224" s="38">
        <f t="shared" si="21"/>
        <v>7.9153678514607168E-2</v>
      </c>
      <c r="L224" s="38">
        <f t="shared" si="22"/>
        <v>5.6129012569304436E-2</v>
      </c>
      <c r="M224" s="38">
        <f t="shared" si="23"/>
        <v>-8.8154261823595731E-2</v>
      </c>
      <c r="O224" s="32">
        <v>45016</v>
      </c>
      <c r="P224" s="33">
        <v>109.66000366210938</v>
      </c>
      <c r="Q224" s="33">
        <v>155</v>
      </c>
      <c r="R224" s="33">
        <v>98.010002136230469</v>
      </c>
      <c r="T224" s="33">
        <f t="shared" si="18"/>
        <v>213.92900361458578</v>
      </c>
      <c r="U224" s="33">
        <f t="shared" si="19"/>
        <v>244.40240377663463</v>
      </c>
      <c r="V224" s="33">
        <f t="shared" si="20"/>
        <v>445.09536829584732</v>
      </c>
      <c r="W224" s="33">
        <v>339.07436134398313</v>
      </c>
    </row>
    <row r="225" spans="10:23">
      <c r="J225" s="16"/>
      <c r="K225" s="38">
        <f t="shared" si="21"/>
        <v>-0.13655565770488928</v>
      </c>
      <c r="L225" s="38">
        <f t="shared" si="22"/>
        <v>-5.2779471904206496E-2</v>
      </c>
      <c r="M225" s="38">
        <f t="shared" si="23"/>
        <v>0.32270331712609929</v>
      </c>
      <c r="O225" s="32">
        <v>45044</v>
      </c>
      <c r="P225" s="33">
        <v>118.33999633789063</v>
      </c>
      <c r="Q225" s="33">
        <v>163.69999694824219</v>
      </c>
      <c r="R225" s="33">
        <v>89.370002746582031</v>
      </c>
      <c r="T225" s="33">
        <f t="shared" si="18"/>
        <v>230.86227119164496</v>
      </c>
      <c r="U225" s="33">
        <f t="shared" si="19"/>
        <v>258.12046937018158</v>
      </c>
      <c r="V225" s="33">
        <f t="shared" si="20"/>
        <v>405.85831466262539</v>
      </c>
      <c r="W225" s="33">
        <v>344.03921050894445</v>
      </c>
    </row>
    <row r="226" spans="10:23">
      <c r="J226" s="16"/>
      <c r="K226" s="38">
        <f t="shared" si="21"/>
        <v>4.9618317475845664E-2</v>
      </c>
      <c r="L226" s="38">
        <f t="shared" si="22"/>
        <v>6.7457802647743384E-2</v>
      </c>
      <c r="M226" s="38">
        <f t="shared" si="23"/>
        <v>-3.6375902678846245E-2</v>
      </c>
      <c r="O226" s="32">
        <v>45077</v>
      </c>
      <c r="P226" s="33">
        <v>102.18000030517578</v>
      </c>
      <c r="Q226" s="33">
        <v>155.05999755859375</v>
      </c>
      <c r="R226" s="33">
        <v>118.20999908447266</v>
      </c>
      <c r="T226" s="33">
        <f t="shared" si="18"/>
        <v>199.33672190982534</v>
      </c>
      <c r="U226" s="33">
        <f t="shared" si="19"/>
        <v>244.49700730915745</v>
      </c>
      <c r="V226" s="33">
        <f t="shared" si="20"/>
        <v>536.83013908746273</v>
      </c>
      <c r="W226" s="33">
        <v>344.89322727572778</v>
      </c>
    </row>
    <row r="227" spans="10:23">
      <c r="J227" s="16"/>
      <c r="K227" s="38">
        <f t="shared" si="21"/>
        <v>-9.3260011472902094E-5</v>
      </c>
      <c r="L227" s="38">
        <f t="shared" si="22"/>
        <v>1.2143514106774092E-2</v>
      </c>
      <c r="M227" s="38">
        <f t="shared" si="23"/>
        <v>4.301622754951437E-3</v>
      </c>
      <c r="O227" s="32">
        <v>45107</v>
      </c>
      <c r="P227" s="33">
        <v>107.25</v>
      </c>
      <c r="Q227" s="33">
        <v>165.52000427246094</v>
      </c>
      <c r="R227" s="33">
        <v>113.91000366210938</v>
      </c>
      <c r="T227" s="33">
        <f t="shared" si="18"/>
        <v>209.22747466214142</v>
      </c>
      <c r="U227" s="33">
        <f t="shared" si="19"/>
        <v>260.99023817618246</v>
      </c>
      <c r="V227" s="33">
        <f t="shared" si="20"/>
        <v>517.30245819294578</v>
      </c>
      <c r="W227" s="33">
        <v>367.21730807314015</v>
      </c>
    </row>
    <row r="228" spans="10:23">
      <c r="J228" s="16"/>
      <c r="K228" s="38">
        <f t="shared" si="21"/>
        <v>3.6833314587105259E-2</v>
      </c>
      <c r="L228" s="38">
        <f t="shared" si="22"/>
        <v>-3.4919155650579285E-2</v>
      </c>
      <c r="M228" s="38">
        <f t="shared" si="23"/>
        <v>-7.5874127529729468E-2</v>
      </c>
      <c r="O228" s="32">
        <v>45138</v>
      </c>
      <c r="P228" s="33">
        <v>107.23999786376953</v>
      </c>
      <c r="Q228" s="33">
        <v>167.52999877929688</v>
      </c>
      <c r="R228" s="33">
        <v>114.40000152587891</v>
      </c>
      <c r="T228" s="33">
        <f t="shared" si="18"/>
        <v>209.20796210545399</v>
      </c>
      <c r="U228" s="33">
        <f t="shared" si="19"/>
        <v>264.1595768152053</v>
      </c>
      <c r="V228" s="33">
        <f t="shared" si="20"/>
        <v>519.52769821830088</v>
      </c>
      <c r="W228" s="33">
        <v>378.65205624133608</v>
      </c>
    </row>
    <row r="229" spans="10:23">
      <c r="J229" s="16"/>
      <c r="K229" s="38">
        <f t="shared" si="21"/>
        <v>5.7469190119100615E-2</v>
      </c>
      <c r="L229" s="38">
        <f t="shared" si="22"/>
        <v>-3.6677343792764341E-2</v>
      </c>
      <c r="M229" s="38">
        <f t="shared" si="23"/>
        <v>-2.7430963794871765E-2</v>
      </c>
      <c r="O229" s="32">
        <v>45169</v>
      </c>
      <c r="P229" s="33">
        <v>111.19000244140625</v>
      </c>
      <c r="Q229" s="33">
        <v>161.67999267578125</v>
      </c>
      <c r="R229" s="33">
        <v>105.72000122070313</v>
      </c>
      <c r="T229" s="33">
        <f t="shared" si="18"/>
        <v>216.91378478781135</v>
      </c>
      <c r="U229" s="33">
        <f t="shared" si="19"/>
        <v>254.935347435804</v>
      </c>
      <c r="V229" s="33">
        <f t="shared" si="20"/>
        <v>480.10898738845862</v>
      </c>
      <c r="W229" s="33">
        <v>371.94369265298042</v>
      </c>
    </row>
    <row r="230" spans="10:23">
      <c r="J230" s="16"/>
      <c r="K230" s="38">
        <f t="shared" si="21"/>
        <v>-9.9761891259262755E-2</v>
      </c>
      <c r="L230" s="38">
        <f t="shared" si="22"/>
        <v>-4.7576267493479131E-2</v>
      </c>
      <c r="M230" s="38">
        <f t="shared" si="23"/>
        <v>-4.2015169302141907E-2</v>
      </c>
      <c r="O230" s="32">
        <v>45198</v>
      </c>
      <c r="P230" s="33">
        <v>117.58000183105469</v>
      </c>
      <c r="Q230" s="33">
        <v>155.75</v>
      </c>
      <c r="R230" s="33">
        <v>102.81999969482422</v>
      </c>
      <c r="T230" s="33">
        <f t="shared" si="18"/>
        <v>229.3796443252358</v>
      </c>
      <c r="U230" s="33">
        <f t="shared" si="19"/>
        <v>245.58499605297314</v>
      </c>
      <c r="V230" s="33">
        <f t="shared" si="20"/>
        <v>466.93913513781331</v>
      </c>
      <c r="W230" s="33">
        <v>353.82285959469277</v>
      </c>
    </row>
    <row r="231" spans="10:23">
      <c r="J231" s="16"/>
      <c r="K231" s="38">
        <f t="shared" si="21"/>
        <v>-2.9381206000790978E-2</v>
      </c>
      <c r="L231" s="38">
        <f t="shared" si="22"/>
        <v>4.2604877175694146E-2</v>
      </c>
      <c r="M231" s="38">
        <f t="shared" si="23"/>
        <v>0.23005079860009517</v>
      </c>
      <c r="O231" s="32">
        <v>45230</v>
      </c>
      <c r="P231" s="33">
        <v>105.84999847412109</v>
      </c>
      <c r="Q231" s="33">
        <v>148.33999633789063</v>
      </c>
      <c r="R231" s="33">
        <v>98.5</v>
      </c>
      <c r="T231" s="33">
        <f t="shared" si="18"/>
        <v>206.49629719097322</v>
      </c>
      <c r="U231" s="33">
        <f t="shared" si="19"/>
        <v>233.90097858837188</v>
      </c>
      <c r="V231" s="33">
        <f t="shared" si="20"/>
        <v>447.32060832120231</v>
      </c>
      <c r="W231" s="33">
        <v>346.04594362664204</v>
      </c>
    </row>
    <row r="232" spans="10:23">
      <c r="J232" s="16"/>
      <c r="K232" s="38">
        <f t="shared" si="21"/>
        <v>-2.6863875454772892E-2</v>
      </c>
      <c r="L232" s="38">
        <f t="shared" si="22"/>
        <v>1.3448867074896323E-2</v>
      </c>
      <c r="M232" s="38">
        <f t="shared" si="23"/>
        <v>0.21665565538612822</v>
      </c>
      <c r="O232" s="32">
        <v>45260</v>
      </c>
      <c r="P232" s="33">
        <v>102.73999786376953</v>
      </c>
      <c r="Q232" s="33">
        <v>154.66000366210938</v>
      </c>
      <c r="R232" s="33">
        <v>121.16000366210938</v>
      </c>
      <c r="T232" s="33">
        <f t="shared" si="18"/>
        <v>200.42918694480468</v>
      </c>
      <c r="U232" s="33">
        <f t="shared" si="19"/>
        <v>243.86630105240417</v>
      </c>
      <c r="V232" s="33">
        <f t="shared" si="20"/>
        <v>550.22707149577536</v>
      </c>
      <c r="W232" s="33">
        <v>376.90606640702362</v>
      </c>
    </row>
    <row r="233" spans="10:23">
      <c r="J233" s="16"/>
      <c r="K233" s="38">
        <f t="shared" si="21"/>
        <v>2.8305602186838662E-2</v>
      </c>
      <c r="L233" s="38">
        <f t="shared" si="22"/>
        <v>1.3780708993368746E-2</v>
      </c>
      <c r="M233" s="38">
        <f t="shared" si="23"/>
        <v>0.13757545807937385</v>
      </c>
      <c r="O233" s="32">
        <v>45289</v>
      </c>
      <c r="P233" s="33">
        <v>99.980003356933594</v>
      </c>
      <c r="Q233" s="33">
        <v>156.74000549316406</v>
      </c>
      <c r="R233" s="33">
        <v>147.41000366210938</v>
      </c>
      <c r="T233" s="33">
        <f t="shared" si="18"/>
        <v>195.04488222921808</v>
      </c>
      <c r="U233" s="33">
        <f t="shared" si="19"/>
        <v>247.14602651930457</v>
      </c>
      <c r="V233" s="33">
        <f t="shared" si="20"/>
        <v>669.43687828188251</v>
      </c>
      <c r="W233" s="33">
        <v>393.57630866723878</v>
      </c>
    </row>
    <row r="234" spans="10:23">
      <c r="J234" s="16"/>
      <c r="K234" s="38">
        <f t="shared" si="21"/>
        <v>1.6632614775601847E-2</v>
      </c>
      <c r="L234" s="38">
        <f t="shared" si="22"/>
        <v>1.560736992818094E-2</v>
      </c>
      <c r="M234" s="38">
        <f t="shared" si="23"/>
        <v>0.14813045486459542</v>
      </c>
      <c r="O234" s="32">
        <v>45322</v>
      </c>
      <c r="P234" s="33">
        <v>102.80999755859375</v>
      </c>
      <c r="Q234" s="33">
        <v>158.89999389648438</v>
      </c>
      <c r="R234" s="33">
        <v>167.69000244140625</v>
      </c>
      <c r="T234" s="33">
        <f t="shared" si="18"/>
        <v>200.56574507417713</v>
      </c>
      <c r="U234" s="33">
        <f t="shared" si="19"/>
        <v>250.55187398963449</v>
      </c>
      <c r="V234" s="33">
        <f t="shared" si="20"/>
        <v>761.53496346673865</v>
      </c>
      <c r="W234" s="33">
        <v>399.83249719453426</v>
      </c>
    </row>
    <row r="235" spans="10:23">
      <c r="J235" s="16"/>
      <c r="K235" s="38">
        <f t="shared" si="21"/>
        <v>0.11213166472561881</v>
      </c>
      <c r="L235" s="38">
        <f t="shared" si="22"/>
        <v>-1.976702407291844E-2</v>
      </c>
      <c r="M235" s="38">
        <f t="shared" si="23"/>
        <v>-6.253567424541788E-2</v>
      </c>
      <c r="O235" s="32">
        <v>45351</v>
      </c>
      <c r="P235" s="33">
        <v>104.51999664306641</v>
      </c>
      <c r="Q235" s="33">
        <v>161.3800048828125</v>
      </c>
      <c r="R235" s="33">
        <v>192.52999877929688</v>
      </c>
      <c r="T235" s="33">
        <f t="shared" si="18"/>
        <v>203.90167784917747</v>
      </c>
      <c r="U235" s="33">
        <f t="shared" si="19"/>
        <v>254.46232977318971</v>
      </c>
      <c r="V235" s="33">
        <f t="shared" si="20"/>
        <v>874.34148400035974</v>
      </c>
      <c r="W235" s="33">
        <v>420.51208000528089</v>
      </c>
    </row>
    <row r="236" spans="10:23">
      <c r="J236" s="16"/>
      <c r="K236" s="38">
        <f t="shared" si="21"/>
        <v>1.7463857678971954E-2</v>
      </c>
      <c r="L236" s="38">
        <f t="shared" si="22"/>
        <v>-8.5972601894061432E-2</v>
      </c>
      <c r="M236" s="38">
        <f t="shared" si="23"/>
        <v>-0.12249986114155759</v>
      </c>
      <c r="O236" s="32">
        <v>45379</v>
      </c>
      <c r="P236" s="33">
        <v>116.23999786376953</v>
      </c>
      <c r="Q236" s="33">
        <v>158.19000244140625</v>
      </c>
      <c r="R236" s="33">
        <v>180.49000549316406</v>
      </c>
      <c r="T236" s="33">
        <f t="shared" si="18"/>
        <v>226.76551242675257</v>
      </c>
      <c r="U236" s="33">
        <f t="shared" si="19"/>
        <v>249.4323667749122</v>
      </c>
      <c r="V236" s="33">
        <f t="shared" si="20"/>
        <v>819.66394977765788</v>
      </c>
      <c r="W236" s="33">
        <v>433.55584527031488</v>
      </c>
    </row>
    <row r="237" spans="10:23">
      <c r="J237" s="16"/>
      <c r="K237" s="38">
        <f t="shared" si="21"/>
        <v>-8.5397356515030266E-3</v>
      </c>
      <c r="L237" s="38">
        <f t="shared" si="22"/>
        <v>1.4385516866560784E-2</v>
      </c>
      <c r="M237" s="38">
        <f t="shared" si="23"/>
        <v>5.3794600018960283E-2</v>
      </c>
      <c r="O237" s="32">
        <v>45412</v>
      </c>
      <c r="P237" s="33">
        <v>118.26999664306641</v>
      </c>
      <c r="Q237" s="33">
        <v>144.58999633789063</v>
      </c>
      <c r="R237" s="33">
        <v>158.3800048828125</v>
      </c>
      <c r="T237" s="33">
        <f t="shared" si="18"/>
        <v>230.72571306227249</v>
      </c>
      <c r="U237" s="33">
        <f t="shared" si="19"/>
        <v>227.98801720667913</v>
      </c>
      <c r="V237" s="33">
        <f t="shared" si="20"/>
        <v>719.2552297471542</v>
      </c>
      <c r="W237" s="33">
        <v>415.51340022443719</v>
      </c>
    </row>
    <row r="238" spans="10:23">
      <c r="J238" s="16"/>
      <c r="K238" s="38">
        <f t="shared" si="21"/>
        <v>-1.8250037102696164E-2</v>
      </c>
      <c r="L238" s="38">
        <f t="shared" si="22"/>
        <v>-3.4771562910124827E-3</v>
      </c>
      <c r="M238" s="38">
        <f t="shared" si="23"/>
        <v>-2.8100583308145816E-2</v>
      </c>
      <c r="O238" s="32">
        <v>45443</v>
      </c>
      <c r="P238" s="33">
        <v>117.26000213623047</v>
      </c>
      <c r="Q238" s="33">
        <v>146.66999816894531</v>
      </c>
      <c r="R238" s="33">
        <v>166.89999389648438</v>
      </c>
      <c r="T238" s="33">
        <f t="shared" si="18"/>
        <v>228.75537646471616</v>
      </c>
      <c r="U238" s="33">
        <f t="shared" si="19"/>
        <v>231.26774267357953</v>
      </c>
      <c r="V238" s="33">
        <f t="shared" si="20"/>
        <v>757.94727714294777</v>
      </c>
      <c r="W238" s="33">
        <v>435.46686249917491</v>
      </c>
    </row>
    <row r="239" spans="10:23">
      <c r="J239" s="16"/>
      <c r="K239" s="38">
        <f t="shared" si="21"/>
        <v>3.014240365288403E-2</v>
      </c>
      <c r="L239" s="38">
        <f t="shared" si="22"/>
        <v>7.9980857611573627E-2</v>
      </c>
      <c r="M239" s="38">
        <f t="shared" si="23"/>
        <v>-0.10930281889207519</v>
      </c>
      <c r="O239" s="32">
        <v>45471</v>
      </c>
      <c r="P239" s="33">
        <v>115.12000274658203</v>
      </c>
      <c r="Q239" s="33">
        <v>146.16000366210938</v>
      </c>
      <c r="R239" s="33">
        <v>162.21000671386719</v>
      </c>
      <c r="T239" s="33">
        <f t="shared" si="18"/>
        <v>224.58058235679385</v>
      </c>
      <c r="U239" s="33">
        <f t="shared" si="19"/>
        <v>230.46358858723389</v>
      </c>
      <c r="V239" s="33">
        <f t="shared" si="20"/>
        <v>736.64851653841004</v>
      </c>
      <c r="W239" s="33">
        <v>450.56439368935247</v>
      </c>
    </row>
    <row r="240" spans="10:23">
      <c r="J240" s="16"/>
      <c r="K240" s="38">
        <f t="shared" si="21"/>
        <v>-5.4810179320049094E-3</v>
      </c>
      <c r="L240" s="38">
        <f t="shared" si="22"/>
        <v>5.0744340811638013E-2</v>
      </c>
      <c r="M240" s="38">
        <f t="shared" si="23"/>
        <v>2.8239216166290389E-2</v>
      </c>
      <c r="O240" s="32">
        <v>45504</v>
      </c>
      <c r="P240" s="33">
        <v>118.58999633789063</v>
      </c>
      <c r="Q240" s="33">
        <v>157.85000610351563</v>
      </c>
      <c r="R240" s="33">
        <v>144.47999572753906</v>
      </c>
      <c r="T240" s="33">
        <f t="shared" si="18"/>
        <v>231.34998092279213</v>
      </c>
      <c r="U240" s="33">
        <f t="shared" si="19"/>
        <v>248.89626405068168</v>
      </c>
      <c r="V240" s="33">
        <f t="shared" si="20"/>
        <v>656.13075714809634</v>
      </c>
      <c r="W240" s="33">
        <v>455.66539045481557</v>
      </c>
    </row>
    <row r="241" spans="10:23">
      <c r="J241" s="16"/>
      <c r="K241" s="38">
        <f t="shared" si="21"/>
        <v>-6.1048092741970957E-3</v>
      </c>
      <c r="L241" s="38">
        <f t="shared" si="22"/>
        <v>-2.2910907016604996E-2</v>
      </c>
      <c r="M241" s="38">
        <f t="shared" si="23"/>
        <v>0.10446960505865431</v>
      </c>
      <c r="O241" s="32">
        <v>45534</v>
      </c>
      <c r="P241" s="33">
        <v>117.94000244140625</v>
      </c>
      <c r="Q241" s="33">
        <v>165.86000061035156</v>
      </c>
      <c r="R241" s="33">
        <v>148.55999755859375</v>
      </c>
      <c r="T241" s="33">
        <f t="shared" si="18"/>
        <v>230.08194752878529</v>
      </c>
      <c r="U241" s="33">
        <f t="shared" si="19"/>
        <v>261.52634090041295</v>
      </c>
      <c r="V241" s="33">
        <f t="shared" si="20"/>
        <v>674.65937543255325</v>
      </c>
      <c r="W241" s="33">
        <v>466.07036768103507</v>
      </c>
    </row>
    <row r="242" spans="10:23">
      <c r="J242" s="16"/>
      <c r="K242" s="38">
        <f t="shared" si="21"/>
        <v>-3.7536464496174889E-3</v>
      </c>
      <c r="L242" s="38">
        <f t="shared" si="22"/>
        <v>-1.3575200428142458E-2</v>
      </c>
      <c r="M242" s="38">
        <f t="shared" si="23"/>
        <v>-0.12195267115756904</v>
      </c>
      <c r="O242" s="32">
        <v>45565</v>
      </c>
      <c r="P242" s="33">
        <v>117.22000122070313</v>
      </c>
      <c r="Q242" s="33">
        <v>162.05999755859375</v>
      </c>
      <c r="R242" s="33">
        <v>164.08000183105469</v>
      </c>
      <c r="T242" s="33">
        <f t="shared" si="18"/>
        <v>228.67734112168625</v>
      </c>
      <c r="U242" s="33">
        <f t="shared" si="19"/>
        <v>255.53453522165066</v>
      </c>
      <c r="V242" s="33">
        <f t="shared" si="20"/>
        <v>745.14077393311049</v>
      </c>
      <c r="W242" s="33">
        <v>475.48353026602416</v>
      </c>
    </row>
    <row r="243" spans="10:23">
      <c r="J243" s="16"/>
      <c r="K243" s="38">
        <f t="shared" si="21"/>
        <v>1.0104472662359502E-2</v>
      </c>
      <c r="L243" s="38">
        <f t="shared" si="22"/>
        <v>-3.0339084730377313E-2</v>
      </c>
      <c r="M243" s="38">
        <f t="shared" si="23"/>
        <v>-4.7858707030841247E-2</v>
      </c>
      <c r="O243" s="32">
        <v>45596</v>
      </c>
      <c r="P243" s="33">
        <v>116.77999877929688</v>
      </c>
      <c r="Q243" s="33">
        <v>159.86000061035156</v>
      </c>
      <c r="R243" s="33">
        <v>144.07000732421875</v>
      </c>
      <c r="T243" s="33">
        <f t="shared" si="18"/>
        <v>227.81896723207686</v>
      </c>
      <c r="U243" s="33">
        <f t="shared" si="19"/>
        <v>252.06560268970449</v>
      </c>
      <c r="V243" s="33">
        <f t="shared" si="20"/>
        <v>654.26886616354932</v>
      </c>
      <c r="W243" s="33">
        <v>470.77777411050238</v>
      </c>
    </row>
    <row r="244" spans="10:23">
      <c r="J244" s="16"/>
      <c r="K244" s="38">
        <f t="shared" si="21"/>
        <v>-8.8080700833237768E-2</v>
      </c>
      <c r="L244" s="38">
        <f t="shared" si="22"/>
        <v>-6.7027932119501102E-2</v>
      </c>
      <c r="M244" s="38">
        <f t="shared" si="23"/>
        <v>-0.11944597610140534</v>
      </c>
      <c r="O244" s="32">
        <v>45625</v>
      </c>
      <c r="P244" s="33">
        <v>117.95999908447266</v>
      </c>
      <c r="Q244" s="33">
        <v>155.00999450683594</v>
      </c>
      <c r="R244" s="33">
        <v>137.17500305175781</v>
      </c>
      <c r="T244" s="33">
        <f t="shared" si="18"/>
        <v>230.12095775844034</v>
      </c>
      <c r="U244" s="33">
        <f t="shared" si="19"/>
        <v>244.41816301208794</v>
      </c>
      <c r="V244" s="33">
        <f t="shared" si="20"/>
        <v>622.95640417842742</v>
      </c>
      <c r="W244" s="33">
        <v>497.75397716020865</v>
      </c>
    </row>
    <row r="245" spans="10:23">
      <c r="J245" s="16"/>
      <c r="K245" s="38"/>
      <c r="L245" s="2"/>
      <c r="M245" s="2"/>
      <c r="O245" s="32">
        <v>45657</v>
      </c>
      <c r="P245" s="33">
        <v>107.56999969482422</v>
      </c>
      <c r="Q245" s="33">
        <v>144.6199951171875</v>
      </c>
      <c r="R245" s="33">
        <v>120.79000091552734</v>
      </c>
      <c r="T245" s="33">
        <f t="shared" si="18"/>
        <v>209.851742522661</v>
      </c>
      <c r="U245" s="33">
        <f t="shared" si="19"/>
        <v>228.03531897294053</v>
      </c>
      <c r="V245" s="33">
        <f t="shared" si="20"/>
        <v>548.5467684127135</v>
      </c>
      <c r="W245" s="33">
        <v>485.31503729619118</v>
      </c>
    </row>
    <row r="246" spans="10:23">
      <c r="J246" s="16"/>
      <c r="L246" s="2"/>
      <c r="M246" s="2"/>
      <c r="O246" s="27"/>
      <c r="P246" s="27"/>
      <c r="Q246" s="27"/>
      <c r="R246" s="27"/>
      <c r="T246" s="27"/>
      <c r="U246" s="27"/>
      <c r="V246" s="27"/>
    </row>
    <row r="247" spans="10:23">
      <c r="J247" s="16"/>
      <c r="L247" s="2"/>
      <c r="M247" s="2"/>
      <c r="O247" s="27"/>
      <c r="P247" s="27"/>
      <c r="Q247" s="27"/>
      <c r="R247" s="27"/>
      <c r="T247" s="27"/>
      <c r="U247" s="27"/>
      <c r="V247" s="27"/>
    </row>
    <row r="248" spans="10:23">
      <c r="J248" s="16"/>
      <c r="L248" s="2"/>
      <c r="M248" s="2"/>
      <c r="O248" s="27"/>
      <c r="P248" s="27"/>
      <c r="Q248" s="27"/>
      <c r="R248" s="27"/>
      <c r="T248" s="27"/>
      <c r="U248" s="27"/>
      <c r="V248" s="27"/>
    </row>
    <row r="249" spans="10:23">
      <c r="J249" s="16"/>
      <c r="L249" s="2"/>
      <c r="M249" s="2"/>
      <c r="O249" s="27"/>
      <c r="P249" s="27"/>
      <c r="Q249" s="27"/>
      <c r="R249" s="27"/>
      <c r="T249" s="27"/>
      <c r="U249" s="27"/>
      <c r="V249" s="27"/>
    </row>
    <row r="250" spans="10:23">
      <c r="J250" s="16"/>
      <c r="L250" s="2"/>
      <c r="M250" s="2"/>
      <c r="O250" s="27"/>
      <c r="P250" s="27"/>
      <c r="Q250" s="27"/>
      <c r="R250" s="27"/>
      <c r="T250" s="27"/>
      <c r="U250" s="27"/>
      <c r="V250" s="27"/>
    </row>
    <row r="251" spans="10:23">
      <c r="J251" s="16"/>
      <c r="L251" s="2"/>
      <c r="M251" s="2"/>
      <c r="O251" s="27"/>
      <c r="P251" s="27"/>
      <c r="Q251" s="27"/>
      <c r="R251" s="27"/>
      <c r="T251" s="27"/>
      <c r="U251" s="27"/>
      <c r="V251" s="27"/>
    </row>
    <row r="252" spans="10:23">
      <c r="J252" s="16"/>
      <c r="L252" s="2"/>
      <c r="M252" s="2"/>
      <c r="O252" s="22"/>
      <c r="P252" s="22"/>
      <c r="Q252" s="22"/>
      <c r="R252" s="22"/>
      <c r="T252" s="22"/>
      <c r="U252" s="22"/>
      <c r="V252" s="22"/>
    </row>
    <row r="253" spans="10:23">
      <c r="J253" s="16"/>
      <c r="L253" s="2"/>
      <c r="M253" s="2"/>
      <c r="O253" s="22"/>
      <c r="P253" s="22"/>
      <c r="Q253" s="22"/>
      <c r="R253" s="22"/>
      <c r="T253" s="22"/>
      <c r="U253" s="22"/>
      <c r="V253" s="22"/>
    </row>
    <row r="254" spans="10:23">
      <c r="J254" s="16"/>
      <c r="L254" s="2"/>
      <c r="M254" s="2"/>
    </row>
    <row r="255" spans="10:23">
      <c r="J255" s="16"/>
      <c r="L255" s="2"/>
      <c r="M255" s="2"/>
    </row>
    <row r="256" spans="10:23">
      <c r="J256" s="16"/>
      <c r="L256" s="2"/>
      <c r="M256" s="2"/>
    </row>
    <row r="257" spans="10:13">
      <c r="J257" s="16"/>
      <c r="L257" s="2"/>
      <c r="M257" s="2"/>
    </row>
    <row r="258" spans="10:13">
      <c r="J258" s="16"/>
      <c r="L258" s="2"/>
      <c r="M258" s="2"/>
    </row>
    <row r="259" spans="10:13">
      <c r="J259" s="16"/>
      <c r="L259" s="2"/>
      <c r="M259" s="2"/>
    </row>
    <row r="260" spans="10:13">
      <c r="J260" s="16"/>
      <c r="L260" s="2"/>
      <c r="M260" s="2"/>
    </row>
    <row r="261" spans="10:13">
      <c r="J261" s="16"/>
      <c r="L261" s="2"/>
      <c r="M261" s="2"/>
    </row>
    <row r="262" spans="10:13">
      <c r="J262" s="16"/>
      <c r="L262" s="2"/>
      <c r="M262" s="2"/>
    </row>
    <row r="263" spans="10:13">
      <c r="J263" s="16"/>
      <c r="L263" s="2"/>
      <c r="M263" s="2"/>
    </row>
    <row r="264" spans="10:13">
      <c r="J264" s="16"/>
      <c r="L264" s="2"/>
      <c r="M264" s="2"/>
    </row>
    <row r="265" spans="10:13">
      <c r="J265" s="16"/>
      <c r="L265" s="2"/>
      <c r="M265" s="2"/>
    </row>
    <row r="266" spans="10:13">
      <c r="J266" s="16"/>
      <c r="L266" s="2"/>
      <c r="M266" s="2"/>
    </row>
    <row r="267" spans="10:13">
      <c r="J267" s="16"/>
      <c r="L267" s="2"/>
      <c r="M267" s="2"/>
    </row>
    <row r="268" spans="10:13">
      <c r="J268" s="16"/>
      <c r="L268" s="2"/>
      <c r="M268" s="2"/>
    </row>
    <row r="269" spans="10:13">
      <c r="J269" s="16"/>
      <c r="L269" s="2"/>
      <c r="M269" s="2"/>
    </row>
    <row r="270" spans="10:13">
      <c r="J270" s="16"/>
      <c r="L270" s="2"/>
      <c r="M270" s="2"/>
    </row>
    <row r="271" spans="10:13">
      <c r="J271" s="16"/>
      <c r="L271" s="2"/>
      <c r="M271" s="2"/>
    </row>
    <row r="272" spans="10:13">
      <c r="J272" s="16"/>
      <c r="L272" s="2"/>
      <c r="M272" s="2"/>
    </row>
    <row r="273" spans="3:13">
      <c r="J273" s="16"/>
      <c r="L273" s="2"/>
      <c r="M273" s="2"/>
    </row>
    <row r="274" spans="3:13">
      <c r="J274" s="16"/>
      <c r="L274" s="2"/>
      <c r="M274" s="2"/>
    </row>
    <row r="275" spans="3:13">
      <c r="J275" s="16"/>
      <c r="L275" s="2"/>
      <c r="M275" s="2"/>
    </row>
    <row r="276" spans="3:13">
      <c r="J276" s="16"/>
      <c r="L276" s="2"/>
      <c r="M276" s="2"/>
    </row>
    <row r="277" spans="3:13">
      <c r="J277" s="16"/>
      <c r="L277" s="2"/>
      <c r="M277" s="2"/>
    </row>
    <row r="278" spans="3:13">
      <c r="J278" s="16"/>
      <c r="L278" s="2"/>
      <c r="M278" s="2"/>
    </row>
    <row r="279" spans="3:13">
      <c r="J279" s="16"/>
      <c r="L279" s="2"/>
      <c r="M279" s="2"/>
    </row>
    <row r="280" spans="3:13">
      <c r="J280" s="16"/>
      <c r="L280" s="2"/>
      <c r="M280" s="2"/>
    </row>
    <row r="281" spans="3:13">
      <c r="J281" s="16"/>
      <c r="L281" s="2"/>
      <c r="M281" s="2"/>
    </row>
    <row r="282" spans="3:13">
      <c r="J282" s="16"/>
      <c r="L282" s="2"/>
      <c r="M282" s="2"/>
    </row>
    <row r="283" spans="3:13">
      <c r="J283" s="16"/>
      <c r="L283" s="2"/>
      <c r="M283" s="2"/>
    </row>
    <row r="284" spans="3:13">
      <c r="J284" s="16"/>
      <c r="L284" s="2"/>
      <c r="M284" s="2"/>
    </row>
    <row r="285" spans="3:13">
      <c r="J285" s="16"/>
      <c r="L285" s="2"/>
      <c r="M285" s="2"/>
    </row>
    <row r="286" spans="3:13">
      <c r="J286" s="16"/>
      <c r="L286" s="2"/>
      <c r="M286" s="2"/>
    </row>
    <row r="287" spans="3:13">
      <c r="J287" s="16"/>
      <c r="L287" s="2"/>
      <c r="M287" s="2"/>
    </row>
    <row r="288" spans="3:13">
      <c r="C288" s="2"/>
      <c r="D288" s="2"/>
      <c r="M288" s="2"/>
    </row>
  </sheetData>
  <mergeCells count="3">
    <mergeCell ref="K3:M3"/>
    <mergeCell ref="T3:W3"/>
    <mergeCell ref="O3:R3"/>
  </mergeCells>
  <phoneticPr fontId="5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45"/>
  <sheetViews>
    <sheetView workbookViewId="0">
      <selection activeCell="G23" sqref="G23"/>
    </sheetView>
  </sheetViews>
  <sheetFormatPr defaultColWidth="8.85546875" defaultRowHeight="12.6"/>
  <cols>
    <col min="3" max="3" width="1.85546875" customWidth="1"/>
    <col min="4" max="8" width="15.140625" customWidth="1"/>
    <col min="11" max="11" width="11" style="12" customWidth="1"/>
    <col min="15" max="15" width="15.28515625" style="24" bestFit="1" customWidth="1"/>
    <col min="16" max="16" width="17.140625" bestFit="1" customWidth="1"/>
    <col min="19" max="19" width="11.140625" bestFit="1" customWidth="1"/>
  </cols>
  <sheetData>
    <row r="1" spans="1:19" ht="12.95">
      <c r="A1" s="1" t="s">
        <v>22</v>
      </c>
      <c r="K1" s="15" t="s">
        <v>23</v>
      </c>
    </row>
    <row r="2" spans="1:19">
      <c r="A2" s="3" t="s">
        <v>24</v>
      </c>
    </row>
    <row r="3" spans="1:19" ht="12" customHeight="1">
      <c r="C3" s="3"/>
      <c r="D3" s="18" t="str">
        <f>Stock_price!B1</f>
        <v>XOM</v>
      </c>
      <c r="E3" s="18" t="str">
        <f>Stock_price!C1</f>
        <v>JNJ</v>
      </c>
      <c r="F3" s="18" t="str">
        <f>Stock_price!D1</f>
        <v>AMD</v>
      </c>
      <c r="G3" s="18" t="str">
        <f>Stock_price!E1</f>
        <v>Market index</v>
      </c>
      <c r="H3" s="18" t="str">
        <f>Stock_price!F1</f>
        <v>USTBILL_monthly</v>
      </c>
      <c r="J3" s="3"/>
      <c r="K3" s="79" t="s">
        <v>8</v>
      </c>
      <c r="L3" s="79"/>
      <c r="M3" s="79"/>
      <c r="N3" s="79"/>
      <c r="O3" s="79"/>
      <c r="S3" s="31" t="s">
        <v>4</v>
      </c>
    </row>
    <row r="4" spans="1:19">
      <c r="A4" s="3" t="s">
        <v>25</v>
      </c>
      <c r="C4" s="3"/>
      <c r="D4" s="3"/>
      <c r="E4" s="3"/>
      <c r="F4" s="3"/>
      <c r="G4" s="3"/>
      <c r="O4" s="24" t="s">
        <v>5</v>
      </c>
      <c r="S4" s="33">
        <v>100</v>
      </c>
    </row>
    <row r="5" spans="1:19">
      <c r="B5" s="3" t="s">
        <v>26</v>
      </c>
      <c r="D5" s="40">
        <f>AVERAGE(K6:K245)</f>
        <v>5.2798811995191462E-3</v>
      </c>
      <c r="E5" s="40">
        <f>AVERAGE(L6:L245)</f>
        <v>4.3554725262018156E-3</v>
      </c>
      <c r="F5" s="40">
        <f>AVERAGE(M6:M245)</f>
        <v>2.1033367861788842E-2</v>
      </c>
      <c r="G5" s="40">
        <f>AVERAGE(N6:N245)</f>
        <v>7.5495133911822427E-3</v>
      </c>
      <c r="H5" s="40">
        <f>AVERAGE(O5:O245)</f>
        <v>1.2858921161825714E-3</v>
      </c>
      <c r="K5" s="41" t="s">
        <v>11</v>
      </c>
      <c r="L5" s="37" t="s">
        <v>12</v>
      </c>
      <c r="M5" s="37" t="s">
        <v>13</v>
      </c>
      <c r="N5" s="20" t="s">
        <v>27</v>
      </c>
      <c r="O5" s="30">
        <v>1.6000000000000001E-3</v>
      </c>
      <c r="S5" s="33">
        <v>97.470955178559635</v>
      </c>
    </row>
    <row r="6" spans="1:19">
      <c r="B6" s="3" t="s">
        <v>28</v>
      </c>
      <c r="D6" s="40" cm="1">
        <f t="array" ref="D6">PRODUCT(1 + K6:K245)^(1/COUNT(K6:K245)) - 1</f>
        <v>3.0932371629830424E-3</v>
      </c>
      <c r="E6" s="40" cm="1">
        <f t="array" ref="E6">PRODUCT(1 + L6:L245)^(1/COUNT(L6:L245)) - 1</f>
        <v>3.4406151194350532E-3</v>
      </c>
      <c r="F6" s="40" cm="1">
        <f t="array" ref="F6">PRODUCT(1 + M6:M245)^(1/COUNT(M6:M245)) - 1</f>
        <v>7.1173016014247636E-3</v>
      </c>
      <c r="G6" s="40" cm="1">
        <f t="array" ref="G6">PRODUCT(1 + N6:N245)^(1/COUNT(N6:N245)) - 1</f>
        <v>6.6034911007106789E-3</v>
      </c>
      <c r="H6" s="40" cm="1">
        <f t="array" ref="H6">PRODUCT(1 + O5:O245)^(1/COUNT(O5:O245)) - 1</f>
        <v>1.2846594174515946E-3</v>
      </c>
      <c r="K6" s="42">
        <v>6.6328553203456502E-3</v>
      </c>
      <c r="L6" s="38">
        <v>2.0182888934923499E-2</v>
      </c>
      <c r="M6" s="38">
        <v>-0.28247048763506272</v>
      </c>
      <c r="N6" s="38">
        <f t="shared" ref="N6:N69" si="0">S5/S4-1</f>
        <v>-2.5290448214403627E-2</v>
      </c>
      <c r="O6" s="30">
        <v>1.6000000000000001E-3</v>
      </c>
      <c r="P6" s="3" t="s">
        <v>29</v>
      </c>
      <c r="S6" s="33">
        <v>99.313486038682399</v>
      </c>
    </row>
    <row r="7" spans="1:19">
      <c r="D7" s="9"/>
      <c r="E7" s="9"/>
      <c r="F7" s="9"/>
      <c r="G7" s="9"/>
      <c r="H7" s="9"/>
      <c r="K7" s="42">
        <v>0.22693804739244</v>
      </c>
      <c r="L7" s="38">
        <v>1.3910379726893605E-2</v>
      </c>
      <c r="M7" s="38">
        <v>0.10443041470164993</v>
      </c>
      <c r="N7" s="38">
        <f t="shared" si="0"/>
        <v>1.8903383646414307E-2</v>
      </c>
      <c r="O7" s="30">
        <v>1.6000000000000001E-3</v>
      </c>
      <c r="S7" s="33">
        <v>97.414845864413465</v>
      </c>
    </row>
    <row r="8" spans="1:19">
      <c r="A8" s="3" t="s">
        <v>30</v>
      </c>
      <c r="D8" s="40">
        <f>_xlfn.STDEV.S(K6:K245)</f>
        <v>6.6601217974878932E-2</v>
      </c>
      <c r="E8" s="40">
        <f>_xlfn.STDEV.S(L6:L245)</f>
        <v>4.283040668939337E-2</v>
      </c>
      <c r="F8" s="40">
        <f>_xlfn.STDEV.S(M6:M245)</f>
        <v>0.16934010845783343</v>
      </c>
      <c r="G8" s="40">
        <f>_xlfn.STDEV.S(N6:N245)</f>
        <v>4.3307152318100423E-2</v>
      </c>
      <c r="H8" s="40">
        <f>_xlfn.STDEV.S(O5:O245)</f>
        <v>1.5751878633925723E-3</v>
      </c>
      <c r="J8" s="3"/>
      <c r="K8" s="42">
        <v>-5.8600581562063964E-2</v>
      </c>
      <c r="L8" s="38">
        <v>2.3780567443209565E-2</v>
      </c>
      <c r="M8" s="38">
        <v>-7.6217757338482559E-2</v>
      </c>
      <c r="N8" s="38">
        <f t="shared" si="0"/>
        <v>-1.9117647058823573E-2</v>
      </c>
      <c r="O8" s="30">
        <v>2.0999999999999999E-3</v>
      </c>
      <c r="S8" s="33">
        <v>95.455970691134695</v>
      </c>
    </row>
    <row r="9" spans="1:19">
      <c r="H9" s="9"/>
      <c r="K9" s="42">
        <v>-4.3120801352707044E-2</v>
      </c>
      <c r="L9" s="38">
        <v>2.1887931970705671E-2</v>
      </c>
      <c r="M9" s="38">
        <v>-0.11724573192311019</v>
      </c>
      <c r="N9" s="38">
        <f t="shared" si="0"/>
        <v>-2.010858977291019E-2</v>
      </c>
      <c r="O9" s="30">
        <v>2.0999999999999999E-3</v>
      </c>
      <c r="S9" s="33">
        <v>98.315070301670062</v>
      </c>
    </row>
    <row r="10" spans="1:19">
      <c r="B10" s="3" t="s">
        <v>31</v>
      </c>
      <c r="D10" s="40">
        <f>D5-D6</f>
        <v>2.1866440365361037E-3</v>
      </c>
      <c r="E10" s="40">
        <f>E5-E6</f>
        <v>9.1485740676676246E-4</v>
      </c>
      <c r="F10" s="40">
        <f>F5-F6</f>
        <v>1.3916066260364079E-2</v>
      </c>
      <c r="G10" s="40">
        <f>G5-G6</f>
        <v>9.4602229047156382E-4</v>
      </c>
      <c r="H10" s="40">
        <f t="shared" ref="H10" si="1">H5-H6</f>
        <v>1.2326987309768233E-6</v>
      </c>
      <c r="K10" s="42">
        <v>-1.4553709172771876E-2</v>
      </c>
      <c r="L10" s="38">
        <v>-2.2293440777031021E-2</v>
      </c>
      <c r="M10" s="38">
        <v>0.15249473971191127</v>
      </c>
      <c r="N10" s="38">
        <f t="shared" si="0"/>
        <v>2.9952024895189666E-2</v>
      </c>
      <c r="O10" s="30">
        <v>2.3999999999999998E-3</v>
      </c>
      <c r="S10" s="33">
        <v>98.301042973133519</v>
      </c>
    </row>
    <row r="11" spans="1:19">
      <c r="H11" s="9"/>
      <c r="K11" s="42">
        <v>2.2597872607168386E-2</v>
      </c>
      <c r="L11" s="38">
        <v>-3.1296550251502825E-2</v>
      </c>
      <c r="M11" s="38">
        <v>5.7317107068436485E-2</v>
      </c>
      <c r="N11" s="38">
        <f t="shared" si="0"/>
        <v>-1.4267729752415192E-4</v>
      </c>
      <c r="O11" s="30">
        <v>2.3E-3</v>
      </c>
      <c r="S11" s="33">
        <v>101.83675490131361</v>
      </c>
    </row>
    <row r="12" spans="1:19">
      <c r="K12" s="42">
        <v>2.2272468280995359E-2</v>
      </c>
      <c r="L12" s="38">
        <v>-1.6000014085036058E-2</v>
      </c>
      <c r="M12" s="38">
        <v>0.15801613304537576</v>
      </c>
      <c r="N12" s="38">
        <f t="shared" si="0"/>
        <v>3.5968203604375137E-2</v>
      </c>
      <c r="O12" s="30">
        <v>2.3999999999999998E-3</v>
      </c>
      <c r="S12" s="33">
        <v>100.6939401940722</v>
      </c>
    </row>
    <row r="13" spans="1:19">
      <c r="K13" s="42">
        <v>1.9574494057513298E-2</v>
      </c>
      <c r="L13" s="38">
        <v>-8.911815243640233E-3</v>
      </c>
      <c r="M13" s="38">
        <v>3.4362576527852275E-2</v>
      </c>
      <c r="N13" s="38">
        <f t="shared" si="0"/>
        <v>-1.1222025960556881E-2</v>
      </c>
      <c r="O13" s="30">
        <v>3.0000000000000001E-3</v>
      </c>
      <c r="S13" s="33">
        <v>101.39365634695358</v>
      </c>
    </row>
    <row r="14" spans="1:19">
      <c r="A14" s="3"/>
      <c r="D14" s="9"/>
      <c r="E14" s="9"/>
      <c r="F14" s="9"/>
      <c r="G14" s="9"/>
      <c r="K14" s="42">
        <v>6.0767934840132348E-2</v>
      </c>
      <c r="L14" s="38">
        <v>-1.7352991230589214E-3</v>
      </c>
      <c r="M14" s="38">
        <v>0.21328840671834845</v>
      </c>
      <c r="N14" s="38">
        <f t="shared" si="0"/>
        <v>6.9489400408087043E-3</v>
      </c>
      <c r="O14" s="30">
        <v>2.8999999999999998E-3</v>
      </c>
      <c r="S14" s="33">
        <v>99.594857746385884</v>
      </c>
    </row>
    <row r="15" spans="1:19">
      <c r="B15" s="3"/>
      <c r="C15" s="7"/>
      <c r="D15" s="9"/>
      <c r="E15" s="9"/>
      <c r="F15" s="9"/>
      <c r="G15" s="9"/>
      <c r="K15" s="42">
        <v>-0.11646209347268925</v>
      </c>
      <c r="L15" s="38">
        <v>-1.0429833440958275E-2</v>
      </c>
      <c r="M15" s="38">
        <v>-7.857148371586016E-2</v>
      </c>
      <c r="N15" s="38">
        <f t="shared" si="0"/>
        <v>-1.7740741042146513E-2</v>
      </c>
      <c r="O15" s="30">
        <v>2.7000000000000001E-3</v>
      </c>
      <c r="S15" s="33">
        <v>103.09921446960193</v>
      </c>
    </row>
    <row r="16" spans="1:19">
      <c r="B16" s="3"/>
      <c r="D16" s="9"/>
      <c r="E16" s="9"/>
      <c r="F16" s="9"/>
      <c r="G16" s="9"/>
      <c r="K16" s="42">
        <v>3.3665824905529503E-2</v>
      </c>
      <c r="L16" s="38">
        <v>-1.3893307996237936E-2</v>
      </c>
      <c r="M16" s="38">
        <v>0.12747636000656154</v>
      </c>
      <c r="N16" s="38">
        <f t="shared" si="0"/>
        <v>3.518612107604735E-2</v>
      </c>
      <c r="O16" s="30">
        <v>3.0999999999999999E-3</v>
      </c>
      <c r="S16" s="33">
        <v>103.00102316984616</v>
      </c>
    </row>
    <row r="17" spans="1:19">
      <c r="A17" s="3"/>
      <c r="H17" s="3"/>
      <c r="K17" s="42">
        <v>-3.2052397888644231E-2</v>
      </c>
      <c r="L17" s="38">
        <v>-2.6720672483868928E-2</v>
      </c>
      <c r="M17" s="38">
        <v>0.16883116977734</v>
      </c>
      <c r="N17" s="38">
        <f t="shared" si="0"/>
        <v>-9.5239619681797283E-4</v>
      </c>
      <c r="O17" s="30">
        <v>3.2000000000000002E-3</v>
      </c>
      <c r="S17" s="33">
        <v>105.62413360617859</v>
      </c>
    </row>
    <row r="18" spans="1:19">
      <c r="B18" s="3"/>
      <c r="K18" s="42">
        <v>0.1171444195398349</v>
      </c>
      <c r="L18" s="38">
        <v>-4.2595634335932275E-2</v>
      </c>
      <c r="M18" s="38">
        <v>0.36601302993359247</v>
      </c>
      <c r="N18" s="38">
        <f t="shared" si="0"/>
        <v>2.5466838635253009E-2</v>
      </c>
      <c r="O18" s="30">
        <v>3.4999999999999996E-3</v>
      </c>
      <c r="S18" s="33">
        <v>105.67199155059738</v>
      </c>
    </row>
    <row r="19" spans="1:19">
      <c r="B19" s="3"/>
      <c r="K19" s="42">
        <v>-5.3864558854426044E-2</v>
      </c>
      <c r="L19" s="38">
        <v>1.9117241675586853E-3</v>
      </c>
      <c r="M19" s="38">
        <v>-7.4880409694843372E-2</v>
      </c>
      <c r="N19" s="38">
        <f t="shared" si="0"/>
        <v>4.5309668145754323E-4</v>
      </c>
      <c r="O19" s="30">
        <v>3.4000000000000002E-3</v>
      </c>
      <c r="S19" s="33">
        <v>106.84121064096638</v>
      </c>
    </row>
    <row r="20" spans="1:19">
      <c r="B20" s="3"/>
      <c r="C20" s="3"/>
      <c r="D20" s="3"/>
      <c r="E20" s="3"/>
      <c r="F20" s="3"/>
      <c r="G20" s="3"/>
      <c r="H20" s="3"/>
      <c r="K20" s="42">
        <v>2.509687898388337E-2</v>
      </c>
      <c r="L20" s="38">
        <v>2.7233298408837869E-2</v>
      </c>
      <c r="M20" s="38">
        <v>-0.14248767991817785</v>
      </c>
      <c r="N20" s="38">
        <f t="shared" si="0"/>
        <v>1.1064607311854768E-2</v>
      </c>
      <c r="O20" s="30">
        <v>3.7000000000000002E-3</v>
      </c>
      <c r="S20" s="33">
        <v>108.14327678394612</v>
      </c>
    </row>
    <row r="21" spans="1:19">
      <c r="F21" s="3"/>
      <c r="K21" s="42">
        <v>3.6477180388419669E-2</v>
      </c>
      <c r="L21" s="38">
        <v>-1.0300584224545882E-2</v>
      </c>
      <c r="M21" s="38">
        <v>-2.4427062033120915E-2</v>
      </c>
      <c r="N21" s="38">
        <f t="shared" si="0"/>
        <v>1.2186928013716125E-2</v>
      </c>
      <c r="O21" s="30">
        <v>3.5999999999999999E-3</v>
      </c>
      <c r="S21" s="33">
        <v>104.79982177041389</v>
      </c>
    </row>
    <row r="22" spans="1:19">
      <c r="K22" s="42">
        <v>-3.4400791386379956E-2</v>
      </c>
      <c r="L22" s="38">
        <v>2.7469725193403391E-2</v>
      </c>
      <c r="M22" s="38">
        <v>-4.5131349407654724E-2</v>
      </c>
      <c r="N22" s="38">
        <f t="shared" si="0"/>
        <v>-3.091690129023883E-2</v>
      </c>
      <c r="O22" s="30">
        <v>4.3E-3</v>
      </c>
      <c r="S22" s="33">
        <v>104.80889827711401</v>
      </c>
    </row>
    <row r="23" spans="1:19">
      <c r="K23" s="42">
        <v>7.2237502513748351E-3</v>
      </c>
      <c r="L23" s="38">
        <v>-4.9817842191387067E-3</v>
      </c>
      <c r="M23" s="38">
        <v>-0.20945287928761361</v>
      </c>
      <c r="N23" s="38">
        <f t="shared" si="0"/>
        <v>8.6608035651192239E-5</v>
      </c>
      <c r="O23" s="30">
        <v>4.0000000000000001E-3</v>
      </c>
      <c r="S23" s="33">
        <v>105.34193676150242</v>
      </c>
    </row>
    <row r="24" spans="1:19">
      <c r="K24" s="42">
        <v>0.1041564718594719</v>
      </c>
      <c r="L24" s="38">
        <v>4.3891874974693885E-2</v>
      </c>
      <c r="M24" s="38">
        <v>-0.20597873345334061</v>
      </c>
      <c r="N24" s="38">
        <f t="shared" si="0"/>
        <v>5.0858132577547011E-3</v>
      </c>
      <c r="O24" s="30">
        <v>4.0000000000000001E-3</v>
      </c>
      <c r="S24" s="33">
        <v>107.58300877945739</v>
      </c>
    </row>
    <row r="25" spans="1:19">
      <c r="K25" s="42">
        <v>-1.0333583854695958E-3</v>
      </c>
      <c r="L25" s="38">
        <v>3.3733084744766259E-2</v>
      </c>
      <c r="M25" s="38">
        <v>0.28880869302447465</v>
      </c>
      <c r="N25" s="38">
        <f t="shared" si="0"/>
        <v>2.1274262528785837E-2</v>
      </c>
      <c r="O25" s="30">
        <v>4.1999999999999997E-3</v>
      </c>
      <c r="S25" s="33">
        <v>110.22592250313551</v>
      </c>
    </row>
    <row r="26" spans="1:19">
      <c r="K26" s="42">
        <v>-8.4232261008956172E-3</v>
      </c>
      <c r="L26" s="38">
        <v>4.3303242103116934E-3</v>
      </c>
      <c r="M26" s="38">
        <v>-5.6022165238368586E-3</v>
      </c>
      <c r="N26" s="38">
        <f t="shared" si="0"/>
        <v>2.4566274485741779E-2</v>
      </c>
      <c r="O26" s="30">
        <v>4.0999999999999995E-3</v>
      </c>
      <c r="S26" s="33">
        <v>113.69892402138755</v>
      </c>
    </row>
    <row r="27" spans="1:19">
      <c r="K27" s="42">
        <v>6.4381517035210389E-2</v>
      </c>
      <c r="L27" s="38">
        <v>3.7881105512619161E-2</v>
      </c>
      <c r="M27" s="38">
        <v>-0.14406438103621144</v>
      </c>
      <c r="N27" s="38">
        <f t="shared" si="0"/>
        <v>3.1508028596025195E-2</v>
      </c>
      <c r="O27" s="30">
        <v>4.0999999999999995E-3</v>
      </c>
      <c r="S27" s="33">
        <v>115.57115981252889</v>
      </c>
    </row>
    <row r="28" spans="1:19">
      <c r="B28" s="3"/>
      <c r="D28" s="3"/>
      <c r="E28" s="3"/>
      <c r="F28" s="3"/>
      <c r="K28" s="42">
        <v>7.5469049675670599E-2</v>
      </c>
      <c r="L28" s="38">
        <v>-2.2106792730522885E-2</v>
      </c>
      <c r="M28" s="38">
        <v>1.4104336182609034E-2</v>
      </c>
      <c r="N28" s="38">
        <f t="shared" si="0"/>
        <v>1.6466609576614388E-2</v>
      </c>
      <c r="O28" s="30">
        <v>4.1999999999999997E-3</v>
      </c>
      <c r="S28" s="33">
        <v>117.029176843356</v>
      </c>
    </row>
    <row r="29" spans="1:19">
      <c r="D29" s="3"/>
      <c r="E29" s="3"/>
      <c r="F29" s="3"/>
      <c r="K29" s="42">
        <v>-2.3434489115621935E-3</v>
      </c>
      <c r="L29" s="38">
        <v>1.668835910265083E-3</v>
      </c>
      <c r="M29" s="38">
        <v>-5.656000605541197E-2</v>
      </c>
      <c r="N29" s="38">
        <f t="shared" si="0"/>
        <v>1.2615751483260995E-2</v>
      </c>
      <c r="O29" s="30">
        <v>4.0000000000000001E-3</v>
      </c>
      <c r="S29" s="33">
        <v>118.67449996699452</v>
      </c>
    </row>
    <row r="30" spans="1:19">
      <c r="B30" s="3"/>
      <c r="C30" s="3"/>
      <c r="K30" s="42">
        <v>-3.3015775414033804E-2</v>
      </c>
      <c r="L30" s="38">
        <v>1.1814699308581752E-2</v>
      </c>
      <c r="M30" s="38">
        <v>-0.23587224082342723</v>
      </c>
      <c r="N30" s="38">
        <f t="shared" si="0"/>
        <v>1.4059084819854739E-2</v>
      </c>
      <c r="O30" s="30">
        <v>4.4000000000000003E-3</v>
      </c>
      <c r="S30" s="33">
        <v>116.08191959865337</v>
      </c>
    </row>
    <row r="31" spans="1:19">
      <c r="B31" s="3"/>
      <c r="C31" s="3"/>
      <c r="K31" s="42">
        <v>-3.2658545462595119E-2</v>
      </c>
      <c r="L31" s="38">
        <v>-5.7934170206302017E-2</v>
      </c>
      <c r="M31" s="38">
        <v>-3.0868198715305651E-2</v>
      </c>
      <c r="N31" s="38">
        <f t="shared" si="0"/>
        <v>-2.1846145288686225E-2</v>
      </c>
      <c r="O31" s="30">
        <v>3.8E-3</v>
      </c>
      <c r="S31" s="33">
        <v>117.24041190837677</v>
      </c>
    </row>
    <row r="32" spans="1:19">
      <c r="B32" s="3"/>
      <c r="K32" s="42">
        <v>5.2594819015286572E-2</v>
      </c>
      <c r="L32" s="38">
        <v>-4.2428126024067085E-2</v>
      </c>
      <c r="M32" s="38">
        <v>-0.1333775259396888</v>
      </c>
      <c r="N32" s="38">
        <f t="shared" si="0"/>
        <v>9.9799547916576969E-3</v>
      </c>
      <c r="O32" s="30">
        <v>4.3E-3</v>
      </c>
      <c r="S32" s="33">
        <v>122.31582942768497</v>
      </c>
    </row>
    <row r="33" spans="2:19">
      <c r="K33" s="42">
        <v>5.208748130065155E-2</v>
      </c>
      <c r="L33" s="38">
        <v>6.5715283927494927E-2</v>
      </c>
      <c r="M33" s="38">
        <v>5.8192898222726469E-2</v>
      </c>
      <c r="N33" s="38">
        <f t="shared" si="0"/>
        <v>4.3290683107413797E-2</v>
      </c>
      <c r="O33" s="30">
        <v>4.4000000000000003E-3</v>
      </c>
      <c r="S33" s="33">
        <v>126.29711532114328</v>
      </c>
    </row>
    <row r="34" spans="2:19">
      <c r="C34" s="3"/>
      <c r="K34" s="42">
        <v>4.7745037120975116E-2</v>
      </c>
      <c r="L34" s="38">
        <v>-1.4792911007189356E-2</v>
      </c>
      <c r="M34" s="38">
        <v>3.2561560989613089E-2</v>
      </c>
      <c r="N34" s="38">
        <f t="shared" si="0"/>
        <v>3.2549228600146973E-2</v>
      </c>
      <c r="O34" s="30">
        <v>4.0999999999999995E-3</v>
      </c>
      <c r="S34" s="33">
        <v>124.04696679648819</v>
      </c>
    </row>
    <row r="35" spans="2:19">
      <c r="K35" s="42">
        <v>8.5367211747488219E-3</v>
      </c>
      <c r="L35" s="38">
        <v>-2.6078734217496589E-2</v>
      </c>
      <c r="M35" s="38">
        <v>2.1022937637587731E-3</v>
      </c>
      <c r="N35" s="38">
        <f t="shared" si="0"/>
        <v>-1.7816309730697366E-2</v>
      </c>
      <c r="O35" s="30">
        <v>4.0000000000000001E-3</v>
      </c>
      <c r="S35" s="33">
        <v>120.07970823156643</v>
      </c>
    </row>
    <row r="36" spans="2:19">
      <c r="B36" s="3"/>
      <c r="K36" s="42">
        <v>1.4902241785052808E-2</v>
      </c>
      <c r="L36" s="38">
        <v>-1.8175899891248317E-2</v>
      </c>
      <c r="M36" s="38">
        <v>-5.3146868443697572E-2</v>
      </c>
      <c r="N36" s="38">
        <f t="shared" si="0"/>
        <v>-3.1981907074200899E-2</v>
      </c>
      <c r="O36" s="30">
        <v>4.0000000000000001E-3</v>
      </c>
      <c r="S36" s="33">
        <v>121.62436464453097</v>
      </c>
    </row>
    <row r="37" spans="2:19">
      <c r="D37" s="3"/>
      <c r="E37" s="3"/>
      <c r="F37" s="3"/>
      <c r="K37" s="42">
        <v>7.0481160915523786E-3</v>
      </c>
      <c r="L37" s="38">
        <v>2.1322329182270144E-2</v>
      </c>
      <c r="M37" s="38">
        <v>-3.9881828905051576E-2</v>
      </c>
      <c r="N37" s="38">
        <f t="shared" si="0"/>
        <v>1.2863592323073991E-2</v>
      </c>
      <c r="O37" s="30">
        <v>4.1999999999999997E-3</v>
      </c>
      <c r="S37" s="33">
        <v>125.97778731269389</v>
      </c>
    </row>
    <row r="38" spans="2:19">
      <c r="C38" s="3"/>
      <c r="K38" s="42">
        <v>7.9668656645488931E-2</v>
      </c>
      <c r="L38" s="38">
        <v>6.3278782566457165E-2</v>
      </c>
      <c r="M38" s="38">
        <v>1.5384600712702824E-2</v>
      </c>
      <c r="N38" s="38">
        <f t="shared" si="0"/>
        <v>3.579400131615551E-2</v>
      </c>
      <c r="O38" s="30">
        <v>3.2000000000000002E-3</v>
      </c>
      <c r="S38" s="33">
        <v>127.84507228199882</v>
      </c>
    </row>
    <row r="39" spans="2:19">
      <c r="C39" s="3"/>
      <c r="K39" s="42">
        <v>-6.1581645403932603E-3</v>
      </c>
      <c r="L39" s="38">
        <v>-8.0669528754225492E-3</v>
      </c>
      <c r="M39" s="38">
        <v>-9.0909005525025531E-3</v>
      </c>
      <c r="N39" s="38">
        <f t="shared" si="0"/>
        <v>1.4822335025380884E-2</v>
      </c>
      <c r="O39" s="30">
        <v>3.2000000000000002E-3</v>
      </c>
      <c r="S39" s="33">
        <v>122.2143375800383</v>
      </c>
    </row>
    <row r="40" spans="2:19">
      <c r="K40" s="42">
        <v>-3.076415118360119E-2</v>
      </c>
      <c r="L40" s="38">
        <v>3.9435319426614164E-2</v>
      </c>
      <c r="M40" s="38">
        <v>-0.25382260811845159</v>
      </c>
      <c r="N40" s="38">
        <f t="shared" si="0"/>
        <v>-4.4043423821141348E-2</v>
      </c>
      <c r="O40" s="30">
        <v>3.4000000000000002E-3</v>
      </c>
      <c r="S40" s="33">
        <v>121.1598125288798</v>
      </c>
    </row>
    <row r="41" spans="2:19">
      <c r="K41" s="42">
        <v>5.0807521234120405E-2</v>
      </c>
      <c r="L41" s="38">
        <v>-1.5352833603846098E-2</v>
      </c>
      <c r="M41" s="38">
        <v>-0.23155739506993384</v>
      </c>
      <c r="N41" s="38">
        <f t="shared" si="0"/>
        <v>-8.628488866683881E-3</v>
      </c>
      <c r="O41" s="30">
        <v>2.7000000000000001E-3</v>
      </c>
      <c r="S41" s="33">
        <v>113.74925737672454</v>
      </c>
    </row>
    <row r="42" spans="2:19">
      <c r="K42" s="42">
        <v>-7.7809806015177688E-2</v>
      </c>
      <c r="L42" s="38">
        <v>-5.3373279182549804E-2</v>
      </c>
      <c r="M42" s="38">
        <v>1.2000020345052083E-2</v>
      </c>
      <c r="N42" s="38">
        <f t="shared" si="0"/>
        <v>-6.1163474897164116E-2</v>
      </c>
      <c r="O42" s="30">
        <v>2.0999999999999999E-3</v>
      </c>
      <c r="S42" s="33">
        <v>109.79520100336659</v>
      </c>
    </row>
    <row r="43" spans="2:19">
      <c r="K43" s="42">
        <v>7.0601921247519014E-3</v>
      </c>
      <c r="L43" s="38">
        <v>-1.8688633458701583E-2</v>
      </c>
      <c r="M43" s="38">
        <v>-5.0065890224172516E-2</v>
      </c>
      <c r="N43" s="38">
        <f t="shared" si="0"/>
        <v>-3.4761162090602316E-2</v>
      </c>
      <c r="O43" s="30">
        <v>1.2999999999999999E-3</v>
      </c>
      <c r="S43" s="33">
        <v>109.14086738398576</v>
      </c>
    </row>
    <row r="44" spans="2:19">
      <c r="K44" s="42">
        <v>-2.7927827209694354E-2</v>
      </c>
      <c r="L44" s="38">
        <v>4.6965844175401707E-2</v>
      </c>
      <c r="M44" s="38">
        <v>-0.18307907970561224</v>
      </c>
      <c r="N44" s="38">
        <f t="shared" si="0"/>
        <v>-5.9595830546432804E-3</v>
      </c>
      <c r="O44" s="30">
        <v>1.7000000000000001E-3</v>
      </c>
      <c r="S44" s="33">
        <v>114.33015380553174</v>
      </c>
    </row>
    <row r="45" spans="2:19">
      <c r="K45" s="42">
        <v>0.10037831260311364</v>
      </c>
      <c r="L45" s="38">
        <v>3.4222190493518427E-2</v>
      </c>
      <c r="M45" s="38">
        <v>1.1884579498835229E-2</v>
      </c>
      <c r="N45" s="38">
        <f t="shared" si="0"/>
        <v>4.7546684811370588E-2</v>
      </c>
      <c r="O45" s="30">
        <v>1.8E-3</v>
      </c>
      <c r="S45" s="33">
        <v>115.55053138821047</v>
      </c>
    </row>
    <row r="46" spans="2:19">
      <c r="K46" s="42">
        <v>-4.6309203532031773E-2</v>
      </c>
      <c r="L46" s="38">
        <v>-5.2168503983569909E-3</v>
      </c>
      <c r="M46" s="38">
        <v>0.15436242792038354</v>
      </c>
      <c r="N46" s="38">
        <f t="shared" si="0"/>
        <v>1.0674153248796614E-2</v>
      </c>
      <c r="O46" s="30">
        <v>1.8E-3</v>
      </c>
      <c r="S46" s="33">
        <v>105.61753251039674</v>
      </c>
    </row>
    <row r="47" spans="2:19">
      <c r="K47" s="42">
        <v>-7.097846638687063E-3</v>
      </c>
      <c r="L47" s="38">
        <v>-3.5960467526202466E-2</v>
      </c>
      <c r="M47" s="38">
        <v>-0.15261630425426065</v>
      </c>
      <c r="N47" s="38">
        <f t="shared" si="0"/>
        <v>-8.5962381639269392E-2</v>
      </c>
      <c r="O47" s="30">
        <v>1.7000000000000001E-3</v>
      </c>
      <c r="S47" s="33">
        <v>104.57620965080206</v>
      </c>
    </row>
    <row r="48" spans="2:19">
      <c r="K48" s="42">
        <v>-8.7370897403988707E-2</v>
      </c>
      <c r="L48" s="38">
        <v>6.4190318897800261E-2</v>
      </c>
      <c r="M48" s="38">
        <v>-0.27787305433260956</v>
      </c>
      <c r="N48" s="38">
        <f t="shared" si="0"/>
        <v>-9.8593749999998925E-3</v>
      </c>
      <c r="O48" s="30">
        <v>1.5E-3</v>
      </c>
      <c r="S48" s="33">
        <v>105.85104627368143</v>
      </c>
    </row>
    <row r="49" spans="11:19">
      <c r="K49" s="42">
        <v>-5.2219093292516757E-3</v>
      </c>
      <c r="L49" s="38">
        <v>2.8625661596746337E-2</v>
      </c>
      <c r="M49" s="38">
        <v>0.49406173512092522</v>
      </c>
      <c r="N49" s="38">
        <f t="shared" si="0"/>
        <v>1.2190503242910378E-2</v>
      </c>
      <c r="O49" s="30">
        <v>1.2999999999999999E-3</v>
      </c>
      <c r="S49" s="33">
        <v>96.240675952208065</v>
      </c>
    </row>
    <row r="50" spans="11:19">
      <c r="K50" s="42">
        <v>-2.9371308728624035E-2</v>
      </c>
      <c r="L50" s="38">
        <v>-1.6328290797897306E-2</v>
      </c>
      <c r="M50" s="38">
        <v>-0.16534180733868312</v>
      </c>
      <c r="N50" s="38">
        <f t="shared" si="0"/>
        <v>-9.0791453271283018E-2</v>
      </c>
      <c r="O50" s="30">
        <v>1.5E-3</v>
      </c>
      <c r="S50" s="33">
        <v>79.935144233942836</v>
      </c>
    </row>
    <row r="51" spans="11:19">
      <c r="K51" s="42">
        <v>-4.5583321511669259E-2</v>
      </c>
      <c r="L51" s="38">
        <v>-0.11460737249726562</v>
      </c>
      <c r="M51" s="38">
        <v>-0.33333333333333331</v>
      </c>
      <c r="N51" s="38">
        <f t="shared" si="0"/>
        <v>-0.16942453444905514</v>
      </c>
      <c r="O51" s="30">
        <v>8.0000000000000004E-4</v>
      </c>
      <c r="S51" s="33">
        <v>73.952076044623411</v>
      </c>
    </row>
    <row r="52" spans="11:19">
      <c r="K52" s="42">
        <v>8.1354540688747368E-2</v>
      </c>
      <c r="L52" s="38">
        <v>-4.499508175199704E-2</v>
      </c>
      <c r="M52" s="38">
        <v>-0.32571431568690706</v>
      </c>
      <c r="N52" s="38">
        <f t="shared" si="0"/>
        <v>-7.4849032258064496E-2</v>
      </c>
      <c r="O52" s="30">
        <v>2.9999999999999997E-4</v>
      </c>
      <c r="S52" s="33">
        <v>74.530497062512381</v>
      </c>
    </row>
    <row r="53" spans="11:19">
      <c r="K53" s="42">
        <v>-3.9925101526154926E-3</v>
      </c>
      <c r="L53" s="38">
        <v>2.1338340063645142E-2</v>
      </c>
      <c r="M53" s="38">
        <v>-8.47456856590309E-2</v>
      </c>
      <c r="N53" s="38">
        <f t="shared" si="0"/>
        <v>7.8215656520574939E-3</v>
      </c>
      <c r="O53" s="30">
        <v>0</v>
      </c>
      <c r="S53" s="33">
        <v>68.146412304442549</v>
      </c>
    </row>
    <row r="54" spans="11:19">
      <c r="K54" s="42">
        <v>-4.19641537928402E-2</v>
      </c>
      <c r="L54" s="38">
        <v>-3.5768061822704762E-2</v>
      </c>
      <c r="M54" s="38">
        <v>1.3888875091517962E-2</v>
      </c>
      <c r="N54" s="38">
        <f t="shared" si="0"/>
        <v>-8.565734846388029E-2</v>
      </c>
      <c r="O54" s="30">
        <v>0</v>
      </c>
      <c r="S54" s="33">
        <v>60.65499372895902</v>
      </c>
    </row>
    <row r="55" spans="11:19">
      <c r="K55" s="42">
        <v>-0.11218621148604897</v>
      </c>
      <c r="L55" s="38">
        <v>-0.13329864464841074</v>
      </c>
      <c r="M55" s="38">
        <v>-4.566205571678748E-3</v>
      </c>
      <c r="N55" s="38">
        <f t="shared" si="0"/>
        <v>-0.10993122487528451</v>
      </c>
      <c r="O55" s="30">
        <v>1E-4</v>
      </c>
      <c r="S55" s="33">
        <v>65.835203643804874</v>
      </c>
    </row>
    <row r="56" spans="11:19">
      <c r="K56" s="42">
        <v>2.9454630890687408E-3</v>
      </c>
      <c r="L56" s="38">
        <v>5.1999969482421873E-2</v>
      </c>
      <c r="M56" s="38">
        <v>0.39908250409057366</v>
      </c>
      <c r="N56" s="38">
        <f t="shared" si="0"/>
        <v>8.5404508291501591E-2</v>
      </c>
      <c r="O56" s="30">
        <v>2.0000000000000001E-4</v>
      </c>
      <c r="S56" s="33">
        <v>72.018780117499503</v>
      </c>
    </row>
    <row r="57" spans="11:19">
      <c r="K57" s="42">
        <v>-2.0998536523010355E-2</v>
      </c>
      <c r="L57" s="38">
        <v>-4.5626971621987571E-3</v>
      </c>
      <c r="M57" s="38">
        <v>0.18360654148674857</v>
      </c>
      <c r="N57" s="38">
        <f t="shared" si="0"/>
        <v>9.3925075513554779E-2</v>
      </c>
      <c r="O57" s="30">
        <v>1E-4</v>
      </c>
      <c r="S57" s="33">
        <v>75.841639712192233</v>
      </c>
    </row>
    <row r="58" spans="11:19">
      <c r="K58" s="42">
        <v>4.0197995781918551E-2</v>
      </c>
      <c r="L58" s="38">
        <v>5.3475920634481193E-2</v>
      </c>
      <c r="M58" s="38">
        <v>0.25761775451035462</v>
      </c>
      <c r="N58" s="38">
        <f t="shared" si="0"/>
        <v>5.3081426656431674E-2</v>
      </c>
      <c r="O58" s="30">
        <v>0</v>
      </c>
      <c r="S58" s="33">
        <v>75.856492177701512</v>
      </c>
    </row>
    <row r="59" spans="11:19">
      <c r="K59" s="42">
        <v>8.0750569619299252E-3</v>
      </c>
      <c r="L59" s="38">
        <v>2.9731678647301155E-2</v>
      </c>
      <c r="M59" s="38">
        <v>-0.1475771105558514</v>
      </c>
      <c r="N59" s="38">
        <f t="shared" si="0"/>
        <v>1.9583523728705643E-4</v>
      </c>
      <c r="O59" s="30">
        <v>1E-4</v>
      </c>
      <c r="S59" s="33">
        <v>81.480625783880129</v>
      </c>
    </row>
    <row r="60" spans="11:19">
      <c r="K60" s="42">
        <v>6.8659090601538054E-3</v>
      </c>
      <c r="L60" s="38">
        <v>7.2007045907128642E-2</v>
      </c>
      <c r="M60" s="38">
        <v>-5.4263515746346282E-2</v>
      </c>
      <c r="N60" s="38">
        <f t="shared" si="0"/>
        <v>7.4141756950789617E-2</v>
      </c>
      <c r="O60" s="30">
        <v>1E-4</v>
      </c>
      <c r="S60" s="33">
        <v>84.215129711532114</v>
      </c>
    </row>
    <row r="61" spans="11:19">
      <c r="K61" s="42">
        <v>-1.7616108460314684E-2</v>
      </c>
      <c r="L61" s="38">
        <v>-7.3903886919065263E-3</v>
      </c>
      <c r="M61" s="38">
        <v>0.19125683914426492</v>
      </c>
      <c r="N61" s="38">
        <f t="shared" si="0"/>
        <v>3.3560173370599911E-2</v>
      </c>
      <c r="O61" s="30">
        <v>1E-4</v>
      </c>
      <c r="S61" s="33">
        <v>87.223579114132946</v>
      </c>
    </row>
    <row r="62" spans="11:19">
      <c r="K62" s="42">
        <v>-7.8091236964796329E-3</v>
      </c>
      <c r="L62" s="38">
        <v>7.4454131893476536E-3</v>
      </c>
      <c r="M62" s="38">
        <v>0.29816506286430605</v>
      </c>
      <c r="N62" s="38">
        <f t="shared" si="0"/>
        <v>3.5723383825517763E-2</v>
      </c>
      <c r="O62" s="30">
        <v>1E-4</v>
      </c>
      <c r="S62" s="33">
        <v>85.499867978084367</v>
      </c>
    </row>
    <row r="63" spans="11:19">
      <c r="K63" s="42">
        <v>4.4599876568607283E-2</v>
      </c>
      <c r="L63" s="38">
        <v>-3.0218429479910599E-2</v>
      </c>
      <c r="M63" s="38">
        <v>-0.18727914688269806</v>
      </c>
      <c r="N63" s="38">
        <f t="shared" si="0"/>
        <v>-1.9761985847807084E-2</v>
      </c>
      <c r="O63" s="30">
        <v>0</v>
      </c>
      <c r="S63" s="33">
        <v>90.404482144035924</v>
      </c>
    </row>
    <row r="64" spans="11:19">
      <c r="K64" s="42">
        <v>4.7439676471934533E-2</v>
      </c>
      <c r="L64" s="38">
        <v>6.4182912184504989E-2</v>
      </c>
      <c r="M64" s="38">
        <v>0.52391312482902541</v>
      </c>
      <c r="N64" s="38">
        <f t="shared" si="0"/>
        <v>5.7363996950366314E-2</v>
      </c>
      <c r="O64" s="30">
        <v>0</v>
      </c>
      <c r="S64" s="33">
        <v>92.011023829955775</v>
      </c>
    </row>
    <row r="65" spans="11:19">
      <c r="K65" s="42">
        <v>-9.1647759176590446E-2</v>
      </c>
      <c r="L65" s="38">
        <v>2.4984142356925632E-2</v>
      </c>
      <c r="M65" s="38">
        <v>0.38088444923201331</v>
      </c>
      <c r="N65" s="38">
        <f t="shared" si="0"/>
        <v>1.7770597738287375E-2</v>
      </c>
      <c r="O65" s="30">
        <v>1E-4</v>
      </c>
      <c r="S65" s="33">
        <v>88.608984091359176</v>
      </c>
    </row>
    <row r="66" spans="11:19">
      <c r="K66" s="42">
        <v>-5.5140079214124282E-2</v>
      </c>
      <c r="L66" s="38">
        <v>-2.4064632256334376E-2</v>
      </c>
      <c r="M66" s="38">
        <v>-0.22933886333059317</v>
      </c>
      <c r="N66" s="38">
        <f t="shared" si="0"/>
        <v>-3.6974262397991176E-2</v>
      </c>
      <c r="O66" s="30">
        <v>0</v>
      </c>
      <c r="S66" s="33">
        <v>91.135553501881333</v>
      </c>
    </row>
    <row r="67" spans="11:19">
      <c r="K67" s="42">
        <v>8.8468057135556097E-3</v>
      </c>
      <c r="L67" s="38">
        <v>2.227161760882689E-3</v>
      </c>
      <c r="M67" s="38">
        <v>6.0321689941561243E-2</v>
      </c>
      <c r="N67" s="38">
        <f t="shared" si="0"/>
        <v>2.8513693463827261E-2</v>
      </c>
      <c r="O67" s="30">
        <v>0</v>
      </c>
      <c r="S67" s="33">
        <v>96.493993002838494</v>
      </c>
    </row>
    <row r="68" spans="11:19">
      <c r="K68" s="42">
        <v>3.0461590106670672E-2</v>
      </c>
      <c r="L68" s="38">
        <v>3.4920586480034724E-2</v>
      </c>
      <c r="M68" s="38">
        <v>0.17193434090855383</v>
      </c>
      <c r="N68" s="38">
        <f t="shared" si="0"/>
        <v>5.8796367554255768E-2</v>
      </c>
      <c r="O68" s="30">
        <v>1E-4</v>
      </c>
      <c r="S68" s="33">
        <v>97.918179417783364</v>
      </c>
    </row>
    <row r="69" spans="11:19">
      <c r="K69" s="42">
        <v>1.1794464713938156E-2</v>
      </c>
      <c r="L69" s="38">
        <v>-1.3803588015484395E-2</v>
      </c>
      <c r="M69" s="38">
        <v>-2.1575054267872391E-2</v>
      </c>
      <c r="N69" s="38">
        <f t="shared" si="0"/>
        <v>1.4759327193589966E-2</v>
      </c>
      <c r="O69" s="30">
        <v>1E-4</v>
      </c>
      <c r="S69" s="33">
        <v>89.891246946993206</v>
      </c>
    </row>
    <row r="70" spans="11:19">
      <c r="K70" s="42">
        <v>-0.10786480626661858</v>
      </c>
      <c r="L70" s="38">
        <v>-9.331265209843935E-2</v>
      </c>
      <c r="M70" s="38">
        <v>-5.5126793475563644E-2</v>
      </c>
      <c r="N70" s="38">
        <f t="shared" ref="N70:N133" si="2">S69/S68-1</f>
        <v>-8.1975916203894883E-2</v>
      </c>
      <c r="O70" s="30">
        <v>1E-4</v>
      </c>
      <c r="S70" s="33">
        <v>85.047692917024222</v>
      </c>
    </row>
    <row r="71" spans="11:19">
      <c r="K71" s="42">
        <v>-5.6070119764838992E-2</v>
      </c>
      <c r="L71" s="38">
        <v>1.3036057395818031E-2</v>
      </c>
      <c r="M71" s="38">
        <v>-0.14585759249417113</v>
      </c>
      <c r="N71" s="38">
        <f t="shared" si="2"/>
        <v>-5.3882376699314394E-2</v>
      </c>
      <c r="O71" s="30">
        <v>1E-4</v>
      </c>
      <c r="S71" s="33">
        <v>90.897088916760168</v>
      </c>
    </row>
    <row r="72" spans="11:19">
      <c r="K72" s="42">
        <v>4.5733320909554308E-2</v>
      </c>
      <c r="L72" s="38">
        <v>-1.6423995904981357E-2</v>
      </c>
      <c r="M72" s="38">
        <v>2.3223988452202905E-2</v>
      </c>
      <c r="N72" s="38">
        <f t="shared" si="2"/>
        <v>6.8777832756061308E-2</v>
      </c>
      <c r="O72" s="30">
        <v>1E-4</v>
      </c>
      <c r="S72" s="33">
        <v>86.584097960261388</v>
      </c>
    </row>
    <row r="73" spans="11:19">
      <c r="K73" s="42">
        <v>-9.5509331754273664E-3</v>
      </c>
      <c r="L73" s="38">
        <v>-1.8419688277045917E-2</v>
      </c>
      <c r="M73" s="38">
        <v>-0.25100129439965246</v>
      </c>
      <c r="N73" s="38">
        <f t="shared" si="2"/>
        <v>-4.7449164851125603E-2</v>
      </c>
      <c r="O73" s="30">
        <v>1E-4</v>
      </c>
      <c r="S73" s="33">
        <v>94.164631328800581</v>
      </c>
    </row>
    <row r="74" spans="11:19">
      <c r="K74" s="42">
        <v>4.5339202799914192E-2</v>
      </c>
      <c r="L74" s="38">
        <v>8.6636243196247978E-2</v>
      </c>
      <c r="M74" s="38">
        <v>0.26737967278092017</v>
      </c>
      <c r="N74" s="38">
        <f t="shared" si="2"/>
        <v>8.7551104037814742E-2</v>
      </c>
      <c r="O74" s="30">
        <v>1E-4</v>
      </c>
      <c r="S74" s="33">
        <v>97.635157436134392</v>
      </c>
    </row>
    <row r="75" spans="11:19">
      <c r="K75" s="42">
        <v>7.6064037523927513E-2</v>
      </c>
      <c r="L75" s="38">
        <v>2.8728254039632712E-2</v>
      </c>
      <c r="M75" s="38">
        <v>3.164555561285947E-2</v>
      </c>
      <c r="N75" s="38">
        <f t="shared" si="2"/>
        <v>3.6855941114616098E-2</v>
      </c>
      <c r="O75" s="30">
        <v>1E-4</v>
      </c>
      <c r="S75" s="33">
        <v>97.411545316522535</v>
      </c>
    </row>
    <row r="76" spans="11:19">
      <c r="K76" s="42">
        <v>4.6172353639028538E-2</v>
      </c>
      <c r="L76" s="38">
        <v>-3.435836811636131E-2</v>
      </c>
      <c r="M76" s="38">
        <v>-6.1349796946031914E-3</v>
      </c>
      <c r="N76" s="38">
        <f t="shared" si="2"/>
        <v>-2.2902827780876267E-3</v>
      </c>
      <c r="O76" s="30">
        <v>1E-4</v>
      </c>
      <c r="S76" s="33">
        <v>103.77252623935574</v>
      </c>
    </row>
    <row r="77" spans="11:19">
      <c r="K77" s="42">
        <v>5.1178914792075959E-2</v>
      </c>
      <c r="L77" s="38">
        <v>4.8740737738289207E-3</v>
      </c>
      <c r="M77" s="38">
        <v>0.12208509574484647</v>
      </c>
      <c r="N77" s="38">
        <f t="shared" si="2"/>
        <v>6.5300072000338938E-2</v>
      </c>
      <c r="O77" s="30">
        <v>1E-4</v>
      </c>
      <c r="S77" s="33">
        <v>106.12251633771204</v>
      </c>
    </row>
    <row r="78" spans="11:19">
      <c r="K78" s="42">
        <v>0.10339164762883081</v>
      </c>
      <c r="L78" s="38">
        <v>-3.3629718151532734E-2</v>
      </c>
      <c r="M78" s="38">
        <v>-4.2787331101719971E-2</v>
      </c>
      <c r="N78" s="38">
        <f t="shared" si="2"/>
        <v>2.2645590152984729E-2</v>
      </c>
      <c r="O78" s="30">
        <v>1E-4</v>
      </c>
      <c r="S78" s="33">
        <v>109.51382929566307</v>
      </c>
    </row>
    <row r="79" spans="11:19">
      <c r="K79" s="42">
        <v>6.0114011598608741E-2</v>
      </c>
      <c r="L79" s="38">
        <v>2.7940407497995801E-2</v>
      </c>
      <c r="M79" s="38">
        <v>0.17624522706096574</v>
      </c>
      <c r="N79" s="38">
        <f t="shared" si="2"/>
        <v>3.1956582589494076E-2</v>
      </c>
      <c r="O79" s="30">
        <v>1E-4</v>
      </c>
      <c r="S79" s="33">
        <v>109.39913525645255</v>
      </c>
    </row>
    <row r="80" spans="11:19">
      <c r="K80" s="42">
        <v>-1.6368543737402534E-2</v>
      </c>
      <c r="L80" s="38">
        <v>-3.5644509694975089E-2</v>
      </c>
      <c r="M80" s="38">
        <v>-6.6232318583136121E-2</v>
      </c>
      <c r="N80" s="38">
        <f t="shared" si="2"/>
        <v>-1.0473018791158362E-3</v>
      </c>
      <c r="O80" s="30">
        <v>1E-4</v>
      </c>
      <c r="S80" s="33">
        <v>112.51650273945472</v>
      </c>
    </row>
    <row r="81" spans="11:19">
      <c r="K81" s="42">
        <v>4.5762584443198827E-2</v>
      </c>
      <c r="L81" s="38">
        <v>0.10919833283887131</v>
      </c>
      <c r="M81" s="38">
        <v>5.8139532304828899E-2</v>
      </c>
      <c r="N81" s="38">
        <f t="shared" si="2"/>
        <v>2.8495357625034856E-2</v>
      </c>
      <c r="O81" s="30">
        <v>0</v>
      </c>
      <c r="S81" s="33">
        <v>110.99742557264504</v>
      </c>
    </row>
    <row r="82" spans="11:19">
      <c r="K82" s="42">
        <v>-5.1261672700027704E-2</v>
      </c>
      <c r="L82" s="38">
        <v>2.3889221936435955E-2</v>
      </c>
      <c r="M82" s="38">
        <v>-4.6153852603038219E-2</v>
      </c>
      <c r="N82" s="38">
        <f t="shared" si="2"/>
        <v>-1.350092768460176E-2</v>
      </c>
      <c r="O82" s="30">
        <v>0</v>
      </c>
      <c r="S82" s="33">
        <v>108.97088916760181</v>
      </c>
    </row>
    <row r="83" spans="11:19">
      <c r="K83" s="42">
        <v>-2.503898330801475E-2</v>
      </c>
      <c r="L83" s="38">
        <v>-1.1443071213917267E-2</v>
      </c>
      <c r="M83" s="38">
        <v>-0.19470051551149023</v>
      </c>
      <c r="N83" s="38">
        <f t="shared" si="2"/>
        <v>-1.8257508177222714E-2</v>
      </c>
      <c r="O83" s="30">
        <v>0</v>
      </c>
      <c r="S83" s="33">
        <v>106.63080071291832</v>
      </c>
    </row>
    <row r="84" spans="11:19">
      <c r="K84" s="42">
        <v>-1.9537925676494722E-2</v>
      </c>
      <c r="L84" s="38">
        <v>-2.6007152959160371E-2</v>
      </c>
      <c r="M84" s="38">
        <v>5.0071586971416782E-2</v>
      </c>
      <c r="N84" s="38">
        <f t="shared" si="2"/>
        <v>-2.147443663678239E-2</v>
      </c>
      <c r="O84" s="30">
        <v>0</v>
      </c>
      <c r="S84" s="33">
        <v>100.57512046999801</v>
      </c>
    </row>
    <row r="85" spans="11:19">
      <c r="K85" s="42">
        <v>-7.2314879135915375E-2</v>
      </c>
      <c r="L85" s="38">
        <v>1.5588858187350561E-2</v>
      </c>
      <c r="M85" s="38">
        <v>-6.9482318566713289E-2</v>
      </c>
      <c r="N85" s="38">
        <f t="shared" si="2"/>
        <v>-5.6791097904478671E-2</v>
      </c>
      <c r="O85" s="30">
        <v>1E-4</v>
      </c>
      <c r="S85" s="33">
        <v>93.357647369463322</v>
      </c>
    </row>
    <row r="86" spans="11:19">
      <c r="K86" s="42">
        <v>-1.8778701063054445E-2</v>
      </c>
      <c r="L86" s="38">
        <v>-3.2066935063652102E-2</v>
      </c>
      <c r="M86" s="38">
        <v>-0.25622255044630005</v>
      </c>
      <c r="N86" s="38">
        <f t="shared" si="2"/>
        <v>-7.1762012979021961E-2</v>
      </c>
      <c r="O86" s="30">
        <v>0</v>
      </c>
      <c r="S86" s="33">
        <v>103.41441679318764</v>
      </c>
    </row>
    <row r="87" spans="11:19">
      <c r="K87" s="42">
        <v>7.517553753199005E-2</v>
      </c>
      <c r="L87" s="38">
        <v>1.099074859527319E-2</v>
      </c>
      <c r="M87" s="38">
        <v>0.1476377974928878</v>
      </c>
      <c r="N87" s="38">
        <f t="shared" si="2"/>
        <v>0.10772303830584562</v>
      </c>
      <c r="O87" s="30">
        <v>0</v>
      </c>
      <c r="S87" s="33">
        <v>102.89127995247209</v>
      </c>
    </row>
    <row r="88" spans="11:19">
      <c r="K88" s="42">
        <v>3.0093561451165814E-2</v>
      </c>
      <c r="L88" s="38">
        <v>5.1250478984744292E-3</v>
      </c>
      <c r="M88" s="38">
        <v>-2.4013699539913478E-2</v>
      </c>
      <c r="N88" s="38">
        <f t="shared" si="2"/>
        <v>-5.0586451767333784E-3</v>
      </c>
      <c r="O88" s="30">
        <v>0</v>
      </c>
      <c r="S88" s="33">
        <v>103.76922569146474</v>
      </c>
    </row>
    <row r="89" spans="11:19">
      <c r="K89" s="42">
        <v>5.3704619141091821E-2</v>
      </c>
      <c r="L89" s="38">
        <v>1.3288019068770644E-2</v>
      </c>
      <c r="M89" s="38">
        <v>-5.0966600867608972E-2</v>
      </c>
      <c r="N89" s="38">
        <f t="shared" si="2"/>
        <v>8.5327516520175006E-3</v>
      </c>
      <c r="O89" s="30">
        <v>0</v>
      </c>
      <c r="S89" s="33">
        <v>108.29180143903885</v>
      </c>
    </row>
    <row r="90" spans="11:19">
      <c r="K90" s="42">
        <v>-1.2034028394920709E-2</v>
      </c>
      <c r="L90" s="38">
        <v>5.0320497383459784E-3</v>
      </c>
      <c r="M90" s="38">
        <v>0.2425925777118722</v>
      </c>
      <c r="N90" s="38">
        <f t="shared" si="2"/>
        <v>4.3583015267175673E-2</v>
      </c>
      <c r="O90" s="30">
        <v>0</v>
      </c>
      <c r="S90" s="33">
        <v>112.68730609281137</v>
      </c>
    </row>
    <row r="91" spans="11:19">
      <c r="K91" s="42">
        <v>3.2959185653676684E-2</v>
      </c>
      <c r="L91" s="38">
        <v>-1.2592956834135976E-2</v>
      </c>
      <c r="M91" s="38">
        <v>9.538000936619033E-2</v>
      </c>
      <c r="N91" s="38">
        <f t="shared" si="2"/>
        <v>4.0589449943234213E-2</v>
      </c>
      <c r="O91" s="30">
        <v>0</v>
      </c>
      <c r="S91" s="33">
        <v>116.218067199155</v>
      </c>
    </row>
    <row r="92" spans="11:19">
      <c r="K92" s="42">
        <v>2.6589983460531068E-3</v>
      </c>
      <c r="L92" s="38">
        <v>1.3521776715716903E-2</v>
      </c>
      <c r="M92" s="38">
        <v>9.1156539023737215E-2</v>
      </c>
      <c r="N92" s="38">
        <f t="shared" si="2"/>
        <v>3.1332376545017748E-2</v>
      </c>
      <c r="O92" s="30">
        <v>0</v>
      </c>
      <c r="S92" s="33">
        <v>115.34672255594424</v>
      </c>
    </row>
    <row r="93" spans="11:19">
      <c r="K93" s="42">
        <v>-4.4967946955785489E-3</v>
      </c>
      <c r="L93" s="38">
        <v>-1.3038214407040696E-2</v>
      </c>
      <c r="M93" s="38">
        <v>-8.2294300072060678E-2</v>
      </c>
      <c r="N93" s="38">
        <f t="shared" si="2"/>
        <v>-7.497497284287058E-3</v>
      </c>
      <c r="O93" s="30">
        <v>0</v>
      </c>
      <c r="S93" s="33">
        <v>108.12017294870942</v>
      </c>
    </row>
    <row r="94" spans="11:19">
      <c r="K94" s="42">
        <v>-8.9298116880844658E-2</v>
      </c>
      <c r="L94" s="38">
        <v>-4.1013797719314918E-2</v>
      </c>
      <c r="M94" s="38">
        <v>-0.17391306882995242</v>
      </c>
      <c r="N94" s="38">
        <f t="shared" si="2"/>
        <v>-6.2650671359386623E-2</v>
      </c>
      <c r="O94" s="30">
        <v>1E-4</v>
      </c>
      <c r="S94" s="33">
        <v>112.39685787840776</v>
      </c>
    </row>
    <row r="95" spans="11:19">
      <c r="K95" s="42">
        <v>8.8261511939765142E-2</v>
      </c>
      <c r="L95" s="38">
        <v>8.2171988280331065E-2</v>
      </c>
      <c r="M95" s="38">
        <v>-5.7565774510606647E-2</v>
      </c>
      <c r="N95" s="38">
        <f t="shared" si="2"/>
        <v>3.9554921279372435E-2</v>
      </c>
      <c r="O95" s="30">
        <v>0</v>
      </c>
      <c r="S95" s="33">
        <v>113.81279292362525</v>
      </c>
    </row>
    <row r="96" spans="11:19">
      <c r="K96" s="42">
        <v>1.4958499285518834E-2</v>
      </c>
      <c r="L96" s="38">
        <v>2.4570807017417064E-2</v>
      </c>
      <c r="M96" s="38">
        <v>-0.29144852892408479</v>
      </c>
      <c r="N96" s="38">
        <f t="shared" si="2"/>
        <v>1.2597639043871345E-2</v>
      </c>
      <c r="O96" s="30">
        <v>0</v>
      </c>
      <c r="S96" s="33">
        <v>116.06211631130759</v>
      </c>
    </row>
    <row r="97" spans="11:19">
      <c r="K97" s="42">
        <v>5.1813999486805713E-3</v>
      </c>
      <c r="L97" s="38">
        <v>-2.585959092690639E-2</v>
      </c>
      <c r="M97" s="38">
        <v>-8.3743822404229423E-2</v>
      </c>
      <c r="N97" s="38">
        <f t="shared" si="2"/>
        <v>1.9763361656468303E-2</v>
      </c>
      <c r="O97" s="30">
        <v>1E-4</v>
      </c>
      <c r="S97" s="33">
        <v>118.87500825136966</v>
      </c>
    </row>
    <row r="98" spans="11:19">
      <c r="K98" s="42">
        <v>4.7537156373568E-2</v>
      </c>
      <c r="L98" s="38">
        <v>2.1948737212448031E-2</v>
      </c>
      <c r="M98" s="38">
        <v>-9.4086059236377348E-2</v>
      </c>
      <c r="N98" s="38">
        <f t="shared" si="2"/>
        <v>2.4236090375236552E-2</v>
      </c>
      <c r="O98" s="30">
        <v>1E-4</v>
      </c>
      <c r="S98" s="33">
        <v>116.52254274209513</v>
      </c>
    </row>
    <row r="99" spans="11:19">
      <c r="K99" s="42">
        <v>-3.0617691486129351E-3</v>
      </c>
      <c r="L99" s="38">
        <v>2.7717253391543031E-2</v>
      </c>
      <c r="M99" s="38">
        <v>-0.39169138815083676</v>
      </c>
      <c r="N99" s="38">
        <f t="shared" si="2"/>
        <v>-1.9789403541407791E-2</v>
      </c>
      <c r="O99" s="30">
        <v>1E-4</v>
      </c>
      <c r="S99" s="33">
        <v>116.8542478051356</v>
      </c>
    </row>
    <row r="100" spans="11:19">
      <c r="K100" s="42">
        <v>-3.3234603928389297E-2</v>
      </c>
      <c r="L100" s="38">
        <v>-1.5391080804682437E-2</v>
      </c>
      <c r="M100" s="38">
        <v>7.3170779929993324E-2</v>
      </c>
      <c r="N100" s="38">
        <f t="shared" si="2"/>
        <v>2.8467029231815655E-3</v>
      </c>
      <c r="O100" s="30">
        <v>1E-4</v>
      </c>
      <c r="S100" s="33">
        <v>117.6802099148458</v>
      </c>
    </row>
    <row r="101" spans="11:19">
      <c r="K101" s="42">
        <v>-1.8039441217393079E-2</v>
      </c>
      <c r="L101" s="38">
        <v>5.3061107037894557E-3</v>
      </c>
      <c r="M101" s="38">
        <v>9.090911061310529E-2</v>
      </c>
      <c r="N101" s="38">
        <f t="shared" si="2"/>
        <v>7.0683105254980561E-3</v>
      </c>
      <c r="O101" s="30">
        <v>1E-4</v>
      </c>
      <c r="S101" s="33">
        <v>123.61459502277371</v>
      </c>
    </row>
    <row r="102" spans="11:19">
      <c r="K102" s="42">
        <v>3.9514708819826584E-2</v>
      </c>
      <c r="L102" s="38">
        <v>5.4493577431880443E-2</v>
      </c>
      <c r="M102" s="38">
        <v>8.3333250549107771E-2</v>
      </c>
      <c r="N102" s="38">
        <f t="shared" si="2"/>
        <v>5.0428063581991145E-2</v>
      </c>
      <c r="O102" s="30">
        <v>0</v>
      </c>
      <c r="S102" s="33">
        <v>124.98184698659972</v>
      </c>
    </row>
    <row r="103" spans="11:19">
      <c r="K103" s="42">
        <v>-4.6682023257399504E-3</v>
      </c>
      <c r="L103" s="38">
        <v>2.9626657138180187E-2</v>
      </c>
      <c r="M103" s="38">
        <v>-4.2307653511768246E-2</v>
      </c>
      <c r="N103" s="38">
        <f t="shared" si="2"/>
        <v>1.1060603026480154E-2</v>
      </c>
      <c r="O103" s="30">
        <v>0</v>
      </c>
      <c r="S103" s="33">
        <v>129.47966862499169</v>
      </c>
    </row>
    <row r="104" spans="11:19">
      <c r="K104" s="42">
        <v>6.2534621944131535E-3</v>
      </c>
      <c r="L104" s="38">
        <v>7.1212693804763277E-2</v>
      </c>
      <c r="M104" s="38">
        <v>2.409636246977518E-2</v>
      </c>
      <c r="N104" s="38">
        <f t="shared" si="2"/>
        <v>3.5987799403174314E-2</v>
      </c>
      <c r="O104" s="30">
        <v>0</v>
      </c>
      <c r="S104" s="33">
        <v>131.82140735362063</v>
      </c>
    </row>
    <row r="105" spans="11:19">
      <c r="K105" s="42">
        <v>-1.2429283531192971E-2</v>
      </c>
      <c r="L105" s="38">
        <v>4.5382124776583099E-2</v>
      </c>
      <c r="M105" s="38">
        <v>0.10588234744132448</v>
      </c>
      <c r="N105" s="38">
        <f t="shared" si="2"/>
        <v>1.8085763992887971E-2</v>
      </c>
      <c r="O105" s="30">
        <v>0</v>
      </c>
      <c r="S105" s="33">
        <v>134.55838669219085</v>
      </c>
    </row>
    <row r="106" spans="11:19">
      <c r="K106" s="42">
        <v>1.6631120265889421E-2</v>
      </c>
      <c r="L106" s="38">
        <v>-1.2319641093530394E-2</v>
      </c>
      <c r="M106" s="38">
        <v>0.41843974989045002</v>
      </c>
      <c r="N106" s="38">
        <f t="shared" si="2"/>
        <v>2.0762783477406455E-2</v>
      </c>
      <c r="O106" s="30">
        <v>0</v>
      </c>
      <c r="S106" s="33">
        <v>132.54010165687498</v>
      </c>
    </row>
    <row r="107" spans="11:19">
      <c r="K107" s="42">
        <v>-1.3264368847446181E-3</v>
      </c>
      <c r="L107" s="38">
        <v>1.9957238050431404E-2</v>
      </c>
      <c r="M107" s="38">
        <v>1.9999980926513672E-2</v>
      </c>
      <c r="N107" s="38">
        <f t="shared" si="2"/>
        <v>-1.499932545960736E-2</v>
      </c>
      <c r="O107" s="30">
        <v>0</v>
      </c>
      <c r="S107" s="33">
        <v>139.09581490527424</v>
      </c>
    </row>
    <row r="108" spans="11:19">
      <c r="K108" s="42">
        <v>3.7631450838958976E-2</v>
      </c>
      <c r="L108" s="38">
        <v>8.8982056083602379E-2</v>
      </c>
      <c r="M108" s="38">
        <v>-7.5980379553035285E-2</v>
      </c>
      <c r="N108" s="38">
        <f t="shared" si="2"/>
        <v>4.9462111213487203E-2</v>
      </c>
      <c r="O108" s="30">
        <v>0</v>
      </c>
      <c r="S108" s="33">
        <v>134.74239223711132</v>
      </c>
    </row>
    <row r="109" spans="11:19">
      <c r="K109" s="42">
        <v>-7.0293294270833334E-2</v>
      </c>
      <c r="L109" s="38">
        <v>-7.5828837838402413E-2</v>
      </c>
      <c r="M109" s="38">
        <v>-0.13262599536595229</v>
      </c>
      <c r="N109" s="38">
        <f t="shared" si="2"/>
        <v>-3.1298013323604712E-2</v>
      </c>
      <c r="O109" s="30">
        <v>0</v>
      </c>
      <c r="S109" s="33">
        <v>138.75090765066997</v>
      </c>
    </row>
    <row r="110" spans="11:19">
      <c r="K110" s="42">
        <v>-1.2849962133135205E-2</v>
      </c>
      <c r="L110" s="38">
        <v>3.2403514342130963E-3</v>
      </c>
      <c r="M110" s="38">
        <v>0.16513760397638447</v>
      </c>
      <c r="N110" s="38">
        <f t="shared" si="2"/>
        <v>2.9749474883188354E-2</v>
      </c>
      <c r="O110" s="30">
        <v>0</v>
      </c>
      <c r="S110" s="33">
        <v>144.9386098092283</v>
      </c>
    </row>
    <row r="111" spans="11:19">
      <c r="K111" s="42">
        <v>4.1608574999545553E-2</v>
      </c>
      <c r="L111" s="38">
        <v>6.8289283680048773E-2</v>
      </c>
      <c r="M111" s="38">
        <v>-0.12335958941441517</v>
      </c>
      <c r="N111" s="38">
        <f t="shared" si="2"/>
        <v>4.4595759864410889E-2</v>
      </c>
      <c r="O111" s="30">
        <v>0</v>
      </c>
      <c r="S111" s="33">
        <v>149.00405967390583</v>
      </c>
    </row>
    <row r="112" spans="11:19">
      <c r="K112" s="42">
        <v>4.3070748628143474E-2</v>
      </c>
      <c r="L112" s="38">
        <v>2.2135871269270586E-2</v>
      </c>
      <c r="M112" s="38">
        <v>8.9820418695871748E-2</v>
      </c>
      <c r="N112" s="38">
        <f t="shared" si="2"/>
        <v>2.804946087194149E-2</v>
      </c>
      <c r="O112" s="30">
        <v>0</v>
      </c>
      <c r="S112" s="33">
        <v>152.51501749290375</v>
      </c>
    </row>
    <row r="113" spans="11:19">
      <c r="K113" s="42">
        <v>8.2584438533142041E-2</v>
      </c>
      <c r="L113" s="38">
        <v>-3.2431937517953174E-2</v>
      </c>
      <c r="M113" s="38">
        <v>6.3186751106140998E-2</v>
      </c>
      <c r="N113" s="38">
        <f t="shared" si="2"/>
        <v>2.3562833299184183E-2</v>
      </c>
      <c r="O113" s="30">
        <v>0</v>
      </c>
      <c r="S113" s="33">
        <v>147.08809162320938</v>
      </c>
    </row>
    <row r="114" spans="11:19">
      <c r="K114" s="42">
        <v>-8.9327999592294788E-2</v>
      </c>
      <c r="L114" s="38">
        <v>-3.4064802292133767E-2</v>
      </c>
      <c r="M114" s="38">
        <v>-0.11369504698016678</v>
      </c>
      <c r="N114" s="38">
        <f t="shared" si="2"/>
        <v>-3.5582895107013846E-2</v>
      </c>
      <c r="O114" s="30">
        <v>0</v>
      </c>
      <c r="S114" s="33">
        <v>153.43009439566961</v>
      </c>
    </row>
    <row r="115" spans="11:19">
      <c r="K115" s="42">
        <v>4.4596276233079317E-2</v>
      </c>
      <c r="L115" s="38">
        <v>4.1256939928975139E-2</v>
      </c>
      <c r="M115" s="38">
        <v>8.1632643131254706E-2</v>
      </c>
      <c r="N115" s="38">
        <f t="shared" si="2"/>
        <v>4.3117037568930705E-2</v>
      </c>
      <c r="O115" s="30">
        <v>0</v>
      </c>
      <c r="S115" s="33">
        <v>154.4936959535282</v>
      </c>
    </row>
    <row r="116" spans="11:19">
      <c r="K116" s="42">
        <v>1.4646345811531996E-2</v>
      </c>
      <c r="L116" s="38">
        <v>6.6326535260315816E-2</v>
      </c>
      <c r="M116" s="38">
        <v>8.0862584272291232E-2</v>
      </c>
      <c r="N116" s="38">
        <f t="shared" si="2"/>
        <v>6.9321573583585039E-3</v>
      </c>
      <c r="O116" s="30">
        <v>0</v>
      </c>
      <c r="S116" s="33">
        <v>155.45167997887643</v>
      </c>
    </row>
    <row r="117" spans="11:19">
      <c r="K117" s="42">
        <v>4.8423457638778943E-2</v>
      </c>
      <c r="L117" s="38">
        <v>3.1151353497106026E-2</v>
      </c>
      <c r="M117" s="38">
        <v>1.9950104523650408E-2</v>
      </c>
      <c r="N117" s="38">
        <f t="shared" si="2"/>
        <v>6.2007968638175814E-3</v>
      </c>
      <c r="O117" s="30">
        <v>0</v>
      </c>
      <c r="S117" s="33">
        <v>158.72087266486227</v>
      </c>
    </row>
    <row r="118" spans="11:19">
      <c r="K118" s="42">
        <v>-1.835762928996049E-2</v>
      </c>
      <c r="L118" s="38">
        <v>1.6783312015870707E-3</v>
      </c>
      <c r="M118" s="38">
        <v>-2.200492646215289E-2</v>
      </c>
      <c r="N118" s="38">
        <f t="shared" si="2"/>
        <v>2.1030282120013677E-2</v>
      </c>
      <c r="O118" s="30">
        <v>0</v>
      </c>
      <c r="S118" s="33">
        <v>161.74582480691785</v>
      </c>
    </row>
    <row r="119" spans="11:19">
      <c r="K119" s="42">
        <v>1.4921071093238441E-3</v>
      </c>
      <c r="L119" s="38">
        <v>3.1145315302816508E-2</v>
      </c>
      <c r="M119" s="38">
        <v>4.7500014305114746E-2</v>
      </c>
      <c r="N119" s="38">
        <f t="shared" si="2"/>
        <v>1.9058313448431896E-2</v>
      </c>
      <c r="O119" s="30">
        <v>0</v>
      </c>
      <c r="S119" s="33">
        <v>159.30671991550588</v>
      </c>
    </row>
    <row r="120" spans="11:19">
      <c r="K120" s="42">
        <v>-1.728245787142773E-2</v>
      </c>
      <c r="L120" s="38">
        <v>-4.3299620433621171E-2</v>
      </c>
      <c r="M120" s="38">
        <v>-6.6825767915505818E-2</v>
      </c>
      <c r="N120" s="38">
        <f t="shared" si="2"/>
        <v>-1.5079863077291922E-2</v>
      </c>
      <c r="O120" s="30">
        <v>0</v>
      </c>
      <c r="S120" s="33">
        <v>165.30546570730729</v>
      </c>
    </row>
    <row r="121" spans="11:19">
      <c r="K121" s="42">
        <v>5.2556764729650785E-3</v>
      </c>
      <c r="L121" s="38">
        <v>3.6367340915417615E-2</v>
      </c>
      <c r="M121" s="38">
        <v>6.6496159784103753E-2</v>
      </c>
      <c r="N121" s="38">
        <f t="shared" si="2"/>
        <v>3.7655321727690261E-2</v>
      </c>
      <c r="O121" s="30">
        <v>0</v>
      </c>
      <c r="S121" s="33">
        <v>162.74093999603923</v>
      </c>
    </row>
    <row r="122" spans="11:19">
      <c r="K122" s="42">
        <v>-5.4393686733498404E-2</v>
      </c>
      <c r="L122" s="38">
        <v>2.7571511504880922E-2</v>
      </c>
      <c r="M122" s="38">
        <v>-0.18225419102119078</v>
      </c>
      <c r="N122" s="38">
        <f t="shared" si="2"/>
        <v>-1.5513859147336717E-2</v>
      </c>
      <c r="O122" s="30">
        <v>0</v>
      </c>
      <c r="S122" s="33">
        <v>166.5167667832859</v>
      </c>
    </row>
    <row r="123" spans="11:19">
      <c r="K123" s="42">
        <v>2.8282785182377812E-2</v>
      </c>
      <c r="L123" s="38">
        <v>1.1164297610386799E-2</v>
      </c>
      <c r="M123" s="38">
        <v>-0.17888566514971393</v>
      </c>
      <c r="N123" s="38">
        <f t="shared" si="2"/>
        <v>2.3201456175308888E-2</v>
      </c>
      <c r="O123" s="30">
        <v>0</v>
      </c>
      <c r="S123" s="33">
        <v>170.60201993530916</v>
      </c>
    </row>
    <row r="124" spans="11:19">
      <c r="K124" s="42">
        <v>-6.3798968331661793E-2</v>
      </c>
      <c r="L124" s="38">
        <v>4.3607462054769111E-3</v>
      </c>
      <c r="M124" s="38">
        <v>-3.5714252262698792E-3</v>
      </c>
      <c r="N124" s="38">
        <f t="shared" si="2"/>
        <v>2.4533584400783015E-2</v>
      </c>
      <c r="O124" s="30">
        <v>0</v>
      </c>
      <c r="S124" s="33">
        <v>169.88745131691851</v>
      </c>
    </row>
    <row r="125" spans="11:19">
      <c r="K125" s="42">
        <v>2.1095604300875207E-2</v>
      </c>
      <c r="L125" s="38">
        <v>-3.399538388153147E-2</v>
      </c>
      <c r="M125" s="38">
        <v>-4.3010712257996596E-2</v>
      </c>
      <c r="N125" s="38">
        <f t="shared" si="2"/>
        <v>-4.1885120625277938E-3</v>
      </c>
      <c r="O125" s="30">
        <v>0</v>
      </c>
      <c r="S125" s="33">
        <v>164.61400092415332</v>
      </c>
    </row>
    <row r="126" spans="11:19">
      <c r="K126" s="42">
        <v>-5.4407776585573088E-2</v>
      </c>
      <c r="L126" s="38">
        <v>-4.2363969762878824E-2</v>
      </c>
      <c r="M126" s="38">
        <v>-3.7453236027600117E-2</v>
      </c>
      <c r="N126" s="38">
        <f t="shared" si="2"/>
        <v>-3.1040847054252252E-2</v>
      </c>
      <c r="O126" s="30">
        <v>0</v>
      </c>
      <c r="S126" s="33">
        <v>173.65007591260138</v>
      </c>
    </row>
    <row r="127" spans="11:19">
      <c r="K127" s="42">
        <v>1.2811745253271991E-2</v>
      </c>
      <c r="L127" s="38">
        <v>2.3666893958729347E-2</v>
      </c>
      <c r="M127" s="38">
        <v>0.21011672213223029</v>
      </c>
      <c r="N127" s="38">
        <f t="shared" si="2"/>
        <v>5.4892505726845675E-2</v>
      </c>
      <c r="O127" s="30">
        <v>0</v>
      </c>
      <c r="S127" s="33">
        <v>170.62924945540948</v>
      </c>
    </row>
    <row r="128" spans="11:19">
      <c r="K128" s="42">
        <v>-3.9981938998450255E-2</v>
      </c>
      <c r="L128" s="38">
        <v>-1.8632363889438605E-2</v>
      </c>
      <c r="M128" s="38">
        <v>-0.13826361506207507</v>
      </c>
      <c r="N128" s="38">
        <f t="shared" si="2"/>
        <v>-1.7396056070325572E-2</v>
      </c>
      <c r="O128" s="30">
        <v>0</v>
      </c>
      <c r="S128" s="33">
        <v>172.08314080137291</v>
      </c>
    </row>
    <row r="129" spans="11:19">
      <c r="K129" s="42">
        <v>2.7882385253906249E-2</v>
      </c>
      <c r="L129" s="38">
        <v>-1.3916516372900846E-2</v>
      </c>
      <c r="M129" s="38">
        <v>-0.15671644247462466</v>
      </c>
      <c r="N129" s="38">
        <f t="shared" si="2"/>
        <v>8.5207627098153882E-3</v>
      </c>
      <c r="O129" s="30">
        <v>0</v>
      </c>
      <c r="S129" s="33">
        <v>173.88854049772249</v>
      </c>
    </row>
    <row r="130" spans="11:19">
      <c r="K130" s="42">
        <v>-2.4836966122502906E-2</v>
      </c>
      <c r="L130" s="38">
        <v>9.4758313540745202E-3</v>
      </c>
      <c r="M130" s="38">
        <v>8.8495491198714825E-3</v>
      </c>
      <c r="N130" s="38">
        <f t="shared" si="2"/>
        <v>1.0491438545008114E-2</v>
      </c>
      <c r="O130" s="30">
        <v>0</v>
      </c>
      <c r="S130" s="33">
        <v>170.23483398244099</v>
      </c>
    </row>
    <row r="131" spans="11:19">
      <c r="K131" s="42">
        <v>-2.3474179244571711E-2</v>
      </c>
      <c r="L131" s="38">
        <v>-2.6762535665172126E-2</v>
      </c>
      <c r="M131" s="38">
        <v>5.2631633983975551E-2</v>
      </c>
      <c r="N131" s="38">
        <f t="shared" si="2"/>
        <v>-2.10117728564716E-2</v>
      </c>
      <c r="O131" s="30">
        <v>0</v>
      </c>
      <c r="S131" s="33">
        <v>173.59561687240071</v>
      </c>
    </row>
    <row r="132" spans="11:19">
      <c r="K132" s="42">
        <v>-4.7956706852425313E-2</v>
      </c>
      <c r="L132" s="38">
        <v>2.8216704554003331E-2</v>
      </c>
      <c r="M132" s="38">
        <v>-0.19583338714307996</v>
      </c>
      <c r="N132" s="38">
        <f t="shared" si="2"/>
        <v>1.9742039930008559E-2</v>
      </c>
      <c r="O132" s="30">
        <v>0</v>
      </c>
      <c r="S132" s="33">
        <v>162.73186348933913</v>
      </c>
    </row>
    <row r="133" spans="11:19">
      <c r="K133" s="42">
        <v>-5.0119950341993562E-2</v>
      </c>
      <c r="L133" s="38">
        <v>-6.2169402100158165E-2</v>
      </c>
      <c r="M133" s="38">
        <v>-6.217616996354481E-2</v>
      </c>
      <c r="N133" s="38">
        <f t="shared" si="2"/>
        <v>-6.258080462392579E-2</v>
      </c>
      <c r="O133" s="30">
        <v>0</v>
      </c>
      <c r="S133" s="33">
        <v>158.4287741765132</v>
      </c>
    </row>
    <row r="134" spans="11:19">
      <c r="K134" s="42">
        <v>-1.1828806684177229E-2</v>
      </c>
      <c r="L134" s="38">
        <v>-6.703605664066194E-3</v>
      </c>
      <c r="M134" s="38">
        <v>-4.9723711057748671E-2</v>
      </c>
      <c r="N134" s="38">
        <f t="shared" ref="N134:N197" si="3">S133/S132-1</f>
        <v>-2.6442819620927094E-2</v>
      </c>
      <c r="O134" s="30">
        <v>0</v>
      </c>
      <c r="S134" s="33">
        <v>171.5756815631394</v>
      </c>
    </row>
    <row r="135" spans="11:19">
      <c r="K135" s="42">
        <v>0.11284464777183195</v>
      </c>
      <c r="L135" s="38">
        <v>8.2271027645542658E-2</v>
      </c>
      <c r="M135" s="38">
        <v>0.23255805249727518</v>
      </c>
      <c r="N135" s="38">
        <f t="shared" si="3"/>
        <v>8.2983078389400333E-2</v>
      </c>
      <c r="O135" s="30">
        <v>0</v>
      </c>
      <c r="S135" s="33">
        <v>171.6623209452768</v>
      </c>
    </row>
    <row r="136" spans="11:19">
      <c r="K136" s="42">
        <v>-1.3052867168770714E-2</v>
      </c>
      <c r="L136" s="38">
        <v>2.0785814808471459E-3</v>
      </c>
      <c r="M136" s="38">
        <v>0.11320755777939623</v>
      </c>
      <c r="N136" s="38">
        <f t="shared" si="3"/>
        <v>5.0496306555847248E-4</v>
      </c>
      <c r="O136" s="30">
        <v>0</v>
      </c>
      <c r="S136" s="33">
        <v>168.65304640570326</v>
      </c>
    </row>
    <row r="137" spans="11:19">
      <c r="K137" s="42">
        <v>-4.543236036601659E-2</v>
      </c>
      <c r="L137" s="38">
        <v>1.4618761242222807E-2</v>
      </c>
      <c r="M137" s="38">
        <v>0.2161017004801811</v>
      </c>
      <c r="N137" s="38">
        <f t="shared" si="3"/>
        <v>-1.7530198374358763E-2</v>
      </c>
      <c r="O137" s="30">
        <v>1E-4</v>
      </c>
      <c r="S137" s="33">
        <v>160.09637599841565</v>
      </c>
    </row>
    <row r="138" spans="11:19">
      <c r="K138" s="42">
        <v>-1.2828541120725313E-3</v>
      </c>
      <c r="L138" s="38">
        <v>1.6744559971407596E-2</v>
      </c>
      <c r="M138" s="38">
        <v>-0.23344943017126596</v>
      </c>
      <c r="N138" s="38">
        <f t="shared" si="3"/>
        <v>-5.0735344481736333E-2</v>
      </c>
      <c r="O138" s="30">
        <v>1E-4</v>
      </c>
      <c r="S138" s="33">
        <v>159.43544128325294</v>
      </c>
    </row>
    <row r="139" spans="11:19">
      <c r="K139" s="42">
        <v>2.9544034641469902E-2</v>
      </c>
      <c r="L139" s="38">
        <v>7.3726218409310724E-3</v>
      </c>
      <c r="M139" s="38">
        <v>-2.7272700672307866E-2</v>
      </c>
      <c r="N139" s="38">
        <f t="shared" si="3"/>
        <v>-4.1283552550199776E-3</v>
      </c>
      <c r="O139" s="30">
        <v>2.0000000000000001E-4</v>
      </c>
      <c r="S139" s="33">
        <v>169.95676282262843</v>
      </c>
    </row>
    <row r="140" spans="11:19">
      <c r="K140" s="42">
        <v>4.2919460343378908E-2</v>
      </c>
      <c r="L140" s="38">
        <v>2.841933171550429E-2</v>
      </c>
      <c r="M140" s="38">
        <v>0.33177559108586402</v>
      </c>
      <c r="N140" s="38">
        <f t="shared" si="3"/>
        <v>6.5991108718941094E-2</v>
      </c>
      <c r="O140" s="30">
        <v>2.0000000000000001E-4</v>
      </c>
      <c r="S140" s="33">
        <v>170.41553897947051</v>
      </c>
    </row>
    <row r="141" spans="11:19">
      <c r="K141" s="42">
        <v>5.7542832859390228E-2</v>
      </c>
      <c r="L141" s="38">
        <v>3.5859565547571248E-2</v>
      </c>
      <c r="M141" s="38">
        <v>0.24561406003764838</v>
      </c>
      <c r="N141" s="38">
        <f t="shared" si="3"/>
        <v>2.69936982337593E-3</v>
      </c>
      <c r="O141" s="30">
        <v>1E-4</v>
      </c>
      <c r="S141" s="33">
        <v>173.02792263515735</v>
      </c>
    </row>
    <row r="142" spans="11:19">
      <c r="K142" s="42">
        <v>7.0135193041370907E-3</v>
      </c>
      <c r="L142" s="38">
        <v>5.4425463988754677E-3</v>
      </c>
      <c r="M142" s="38">
        <v>0.28732400930866736</v>
      </c>
      <c r="N142" s="38">
        <f t="shared" si="3"/>
        <v>1.5329492083474561E-2</v>
      </c>
      <c r="O142" s="30">
        <v>1E-4</v>
      </c>
      <c r="S142" s="33">
        <v>173.18469865997747</v>
      </c>
    </row>
    <row r="143" spans="11:19">
      <c r="K143" s="42">
        <v>5.3021808567668111E-2</v>
      </c>
      <c r="L143" s="38">
        <v>7.6404298729413705E-2</v>
      </c>
      <c r="M143" s="38">
        <v>0.1247264055609436</v>
      </c>
      <c r="N143" s="38">
        <f t="shared" si="3"/>
        <v>9.0607355409733081E-4</v>
      </c>
      <c r="O143" s="30">
        <v>2.0000000000000001E-4</v>
      </c>
      <c r="S143" s="33">
        <v>179.35177239421733</v>
      </c>
    </row>
    <row r="144" spans="11:19">
      <c r="K144" s="42">
        <v>-5.1098794801431043E-2</v>
      </c>
      <c r="L144" s="38">
        <v>3.2399012417987157E-2</v>
      </c>
      <c r="M144" s="38">
        <v>0.33463041083789663</v>
      </c>
      <c r="N144" s="38">
        <f t="shared" si="3"/>
        <v>3.5609807228685897E-2</v>
      </c>
      <c r="O144" s="30">
        <v>2.0000000000000001E-4</v>
      </c>
      <c r="S144" s="33">
        <v>179.13311109644189</v>
      </c>
    </row>
    <row r="145" spans="11:19">
      <c r="K145" s="42">
        <v>-2.0348483650279865E-2</v>
      </c>
      <c r="L145" s="38">
        <v>-4.7033513224902887E-2</v>
      </c>
      <c r="M145" s="38">
        <v>7.8717194073345195E-2</v>
      </c>
      <c r="N145" s="38">
        <f t="shared" si="3"/>
        <v>-1.2191755612809274E-3</v>
      </c>
      <c r="O145" s="30">
        <v>2.0000000000000001E-4</v>
      </c>
      <c r="S145" s="33">
        <v>178.91197438774827</v>
      </c>
    </row>
    <row r="146" spans="11:19">
      <c r="K146" s="42">
        <v>1.6066030597777163E-3</v>
      </c>
      <c r="L146" s="38">
        <v>-1.0139091013935952E-2</v>
      </c>
      <c r="M146" s="38">
        <v>-6.6216248870330896E-2</v>
      </c>
      <c r="N146" s="38">
        <f t="shared" si="3"/>
        <v>-1.2344825997834263E-3</v>
      </c>
      <c r="O146" s="30">
        <v>2.0000000000000001E-4</v>
      </c>
      <c r="S146" s="33">
        <v>175.43649745857803</v>
      </c>
    </row>
    <row r="147" spans="11:19">
      <c r="K147" s="42">
        <v>-4.5371209210098913E-2</v>
      </c>
      <c r="L147" s="38">
        <v>-1.8115630571442502E-2</v>
      </c>
      <c r="M147" s="38">
        <v>4.6309721957696053E-2</v>
      </c>
      <c r="N147" s="38">
        <f t="shared" si="3"/>
        <v>-1.9425625037472249E-2</v>
      </c>
      <c r="O147" s="30">
        <v>2.0000000000000001E-4</v>
      </c>
      <c r="S147" s="33">
        <v>181.4319427024885</v>
      </c>
    </row>
    <row r="148" spans="11:19">
      <c r="K148" s="42">
        <v>4.7767683287459596E-2</v>
      </c>
      <c r="L148" s="38">
        <v>-4.043447623406396E-2</v>
      </c>
      <c r="M148" s="38">
        <v>0.23236512087228356</v>
      </c>
      <c r="N148" s="38">
        <f t="shared" si="3"/>
        <v>3.4174446769983158E-2</v>
      </c>
      <c r="O148" s="30">
        <v>1E-4</v>
      </c>
      <c r="S148" s="33">
        <v>184.73414086738387</v>
      </c>
    </row>
    <row r="149" spans="11:19">
      <c r="K149" s="42">
        <v>3.3906059347074163E-2</v>
      </c>
      <c r="L149" s="38">
        <v>3.5130241918291588E-2</v>
      </c>
      <c r="M149" s="38">
        <v>0.27272731164878411</v>
      </c>
      <c r="N149" s="38">
        <f t="shared" si="3"/>
        <v>1.8200754044233047E-2</v>
      </c>
      <c r="O149" s="30">
        <v>2.9999999999999997E-4</v>
      </c>
      <c r="S149" s="33">
        <v>188.03798930622469</v>
      </c>
    </row>
    <row r="150" spans="11:19">
      <c r="K150" s="42">
        <v>-7.0573926388431851E-2</v>
      </c>
      <c r="L150" s="38">
        <v>-1.7012404305598278E-2</v>
      </c>
      <c r="M150" s="38">
        <v>-8.5537941267791406E-2</v>
      </c>
      <c r="N150" s="38">
        <f t="shared" si="3"/>
        <v>1.7884341374735824E-2</v>
      </c>
      <c r="O150" s="30">
        <v>4.0000000000000002E-4</v>
      </c>
      <c r="S150" s="33">
        <v>195.03267542412027</v>
      </c>
    </row>
    <row r="151" spans="11:19">
      <c r="K151" s="42">
        <v>-3.0635352408183977E-2</v>
      </c>
      <c r="L151" s="38">
        <v>7.9116989708367821E-2</v>
      </c>
      <c r="M151" s="38">
        <v>0.39440696217205262</v>
      </c>
      <c r="N151" s="38">
        <f t="shared" si="3"/>
        <v>3.7198260541408734E-2</v>
      </c>
      <c r="O151" s="30">
        <v>4.0000000000000002E-4</v>
      </c>
      <c r="S151" s="33">
        <v>194.95676282262841</v>
      </c>
    </row>
    <row r="152" spans="11:19">
      <c r="K152" s="42">
        <v>8.4850275946344676E-3</v>
      </c>
      <c r="L152" s="38">
        <v>1.9147401888676262E-2</v>
      </c>
      <c r="M152" s="38">
        <v>6.2240769260346425E-3</v>
      </c>
      <c r="N152" s="38">
        <f t="shared" si="3"/>
        <v>-3.8923017041525565E-4</v>
      </c>
      <c r="O152" s="30">
        <v>2.9999999999999997E-4</v>
      </c>
      <c r="S152" s="33">
        <v>196.72915704006849</v>
      </c>
    </row>
    <row r="153" spans="11:19">
      <c r="K153" s="42">
        <v>-4.3897159001843392E-3</v>
      </c>
      <c r="L153" s="38">
        <v>-8.6712308678618295E-3</v>
      </c>
      <c r="M153" s="38">
        <v>-8.5910651794765883E-2</v>
      </c>
      <c r="N153" s="38">
        <f t="shared" si="3"/>
        <v>9.0912169025529899E-3</v>
      </c>
      <c r="O153" s="30">
        <v>5.0000000000000001E-4</v>
      </c>
      <c r="S153" s="33">
        <v>199.00653508482395</v>
      </c>
    </row>
    <row r="154" spans="11:19">
      <c r="K154" s="42">
        <v>-1.4084525467086662E-2</v>
      </c>
      <c r="L154" s="38">
        <v>3.8713847347847739E-2</v>
      </c>
      <c r="M154" s="38">
        <v>-0.15864666015730178</v>
      </c>
      <c r="N154" s="38">
        <f t="shared" si="3"/>
        <v>1.1576210049492719E-2</v>
      </c>
      <c r="O154" s="30">
        <v>5.9999999999999995E-4</v>
      </c>
      <c r="S154" s="33">
        <v>199.96451911017215</v>
      </c>
    </row>
    <row r="155" spans="11:19">
      <c r="K155" s="42">
        <v>2.857184558181289E-3</v>
      </c>
      <c r="L155" s="38">
        <v>3.1500922309027776E-2</v>
      </c>
      <c r="M155" s="38">
        <v>0.11528150225442992</v>
      </c>
      <c r="N155" s="38">
        <f t="shared" si="3"/>
        <v>4.8138319927024664E-3</v>
      </c>
      <c r="O155" s="30">
        <v>5.9999999999999995E-4</v>
      </c>
      <c r="S155" s="33">
        <v>203.83358637533817</v>
      </c>
    </row>
    <row r="156" spans="11:19">
      <c r="K156" s="42">
        <v>-8.5470384332269229E-3</v>
      </c>
      <c r="L156" s="38">
        <v>3.2504947947214666E-3</v>
      </c>
      <c r="M156" s="38">
        <v>9.0544884285983701E-2</v>
      </c>
      <c r="N156" s="38">
        <f t="shared" si="3"/>
        <v>1.9348768883515444E-2</v>
      </c>
      <c r="O156" s="30">
        <v>7.000000000000001E-4</v>
      </c>
      <c r="S156" s="33">
        <v>203.94497986665772</v>
      </c>
    </row>
    <row r="157" spans="11:19">
      <c r="K157" s="42">
        <v>-4.6351812119394112E-2</v>
      </c>
      <c r="L157" s="38">
        <v>-2.637176765343694E-3</v>
      </c>
      <c r="M157" s="38">
        <v>-4.4819961209769187E-2</v>
      </c>
      <c r="N157" s="38">
        <f t="shared" si="3"/>
        <v>5.4649232886694321E-4</v>
      </c>
      <c r="O157" s="30">
        <v>8.9999999999999998E-4</v>
      </c>
      <c r="S157" s="33">
        <v>207.88170836358822</v>
      </c>
    </row>
    <row r="158" spans="11:19">
      <c r="K158" s="42">
        <v>7.4020717808763584E-2</v>
      </c>
      <c r="L158" s="38">
        <v>-1.7828818443804035E-2</v>
      </c>
      <c r="M158" s="38">
        <v>-1.9230769230769232E-2</v>
      </c>
      <c r="N158" s="38">
        <f t="shared" si="3"/>
        <v>1.9302894827342154E-2</v>
      </c>
      <c r="O158" s="30">
        <v>8.9999999999999998E-4</v>
      </c>
      <c r="S158" s="33">
        <v>212.49422404119073</v>
      </c>
    </row>
    <row r="159" spans="11:19">
      <c r="K159" s="42">
        <v>1.671133277736845E-2</v>
      </c>
      <c r="L159" s="38">
        <v>7.2302204080003901E-2</v>
      </c>
      <c r="M159" s="38">
        <v>-0.13843139947629443</v>
      </c>
      <c r="N159" s="38">
        <f t="shared" si="3"/>
        <v>2.2188174774546043E-2</v>
      </c>
      <c r="O159" s="30">
        <v>8.9999999999999998E-4</v>
      </c>
      <c r="S159" s="33">
        <v>218.46161462802814</v>
      </c>
    </row>
    <row r="160" spans="11:19">
      <c r="K160" s="42">
        <v>-7.1982675095523042E-4</v>
      </c>
      <c r="L160" s="38">
        <v>-5.7386004557168958E-4</v>
      </c>
      <c r="M160" s="38">
        <v>-8.6480943398798138E-3</v>
      </c>
      <c r="N160" s="38">
        <f t="shared" si="3"/>
        <v>2.8082601368405458E-2</v>
      </c>
      <c r="O160" s="30">
        <v>8.0000000000000004E-4</v>
      </c>
      <c r="S160" s="33">
        <v>220.60944616806381</v>
      </c>
    </row>
    <row r="161" spans="11:19">
      <c r="K161" s="42">
        <v>4.202166770007146E-3</v>
      </c>
      <c r="L161" s="38">
        <v>2.7991056091518128E-3</v>
      </c>
      <c r="M161" s="38">
        <v>-5.6014746659359543E-2</v>
      </c>
      <c r="N161" s="38">
        <f t="shared" si="3"/>
        <v>9.8316198188534987E-3</v>
      </c>
      <c r="O161" s="30">
        <v>8.9999999999999998E-4</v>
      </c>
      <c r="S161" s="33">
        <v>233.00300349858065</v>
      </c>
    </row>
    <row r="162" spans="11:19">
      <c r="K162" s="42">
        <v>4.3759011104946864E-2</v>
      </c>
      <c r="L162" s="38">
        <v>-1.0950463540864657E-2</v>
      </c>
      <c r="M162" s="38">
        <v>0.33657588793992521</v>
      </c>
      <c r="N162" s="38">
        <f t="shared" si="3"/>
        <v>5.6178724645703726E-2</v>
      </c>
      <c r="O162" s="30">
        <v>1.1000000000000001E-3</v>
      </c>
      <c r="S162" s="33">
        <v>223.92814707241391</v>
      </c>
    </row>
    <row r="163" spans="11:19">
      <c r="K163" s="42">
        <v>-0.13241700783371871</v>
      </c>
      <c r="L163" s="38">
        <v>-6.0134578564156695E-2</v>
      </c>
      <c r="M163" s="38">
        <v>-0.11863174247405887</v>
      </c>
      <c r="N163" s="38">
        <f t="shared" si="3"/>
        <v>-3.8947379604151844E-2</v>
      </c>
      <c r="O163" s="30">
        <v>1.1000000000000001E-3</v>
      </c>
      <c r="S163" s="33">
        <v>217.9079477193213</v>
      </c>
    </row>
    <row r="164" spans="11:19">
      <c r="K164" s="42">
        <v>-1.4919425472528386E-2</v>
      </c>
      <c r="L164" s="38">
        <v>-1.3320071768468679E-2</v>
      </c>
      <c r="M164" s="38">
        <v>-0.1701073100201563</v>
      </c>
      <c r="N164" s="38">
        <f t="shared" si="3"/>
        <v>-2.6884513768364204E-2</v>
      </c>
      <c r="O164" s="30">
        <v>1.1999999999999999E-3</v>
      </c>
      <c r="S164" s="33">
        <v>218.50039606574686</v>
      </c>
    </row>
    <row r="165" spans="11:19">
      <c r="K165" s="42">
        <v>4.2085502800716865E-2</v>
      </c>
      <c r="L165" s="38">
        <v>-1.29535396939288E-2</v>
      </c>
      <c r="M165" s="38">
        <v>8.2587055517793426E-2</v>
      </c>
      <c r="N165" s="38">
        <f t="shared" si="3"/>
        <v>2.718801001185378E-3</v>
      </c>
      <c r="O165" s="30">
        <v>1.4000000000000002E-3</v>
      </c>
      <c r="S165" s="33">
        <v>223.22182982375068</v>
      </c>
    </row>
    <row r="166" spans="11:19">
      <c r="K166" s="42">
        <v>4.4887432331440914E-2</v>
      </c>
      <c r="L166" s="38">
        <v>-5.4312556195838704E-2</v>
      </c>
      <c r="M166" s="38">
        <v>0.2619484740641348</v>
      </c>
      <c r="N166" s="38">
        <f t="shared" si="3"/>
        <v>2.1608353316591389E-2</v>
      </c>
      <c r="O166" s="30">
        <v>1.4000000000000002E-3</v>
      </c>
      <c r="S166" s="33">
        <v>224.30275925803676</v>
      </c>
    </row>
    <row r="167" spans="11:19">
      <c r="K167" s="42">
        <v>1.8340786956477232E-2</v>
      </c>
      <c r="L167" s="38">
        <v>1.4378812504731699E-2</v>
      </c>
      <c r="M167" s="38">
        <v>9.1769866780098117E-2</v>
      </c>
      <c r="N167" s="38">
        <f t="shared" si="3"/>
        <v>4.8424002040461378E-3</v>
      </c>
      <c r="O167" s="30">
        <v>1.4000000000000002E-3</v>
      </c>
      <c r="S167" s="33">
        <v>232.38250049508213</v>
      </c>
    </row>
    <row r="168" spans="11:19">
      <c r="K168" s="42">
        <v>-1.4746780746998202E-2</v>
      </c>
      <c r="L168" s="38">
        <v>9.2137862798658682E-2</v>
      </c>
      <c r="M168" s="38">
        <v>0.22281522372156426</v>
      </c>
      <c r="N168" s="38">
        <f t="shared" si="3"/>
        <v>3.6021586465418753E-2</v>
      </c>
      <c r="O168" s="30">
        <v>1.6000000000000001E-3</v>
      </c>
      <c r="S168" s="33">
        <v>239.41514291372363</v>
      </c>
    </row>
    <row r="169" spans="11:19">
      <c r="K169" s="42">
        <v>-1.6439748891744127E-2</v>
      </c>
      <c r="L169" s="38">
        <v>1.6374872464415255E-2</v>
      </c>
      <c r="M169" s="38">
        <v>0.37315876601514703</v>
      </c>
      <c r="N169" s="38">
        <f t="shared" si="3"/>
        <v>3.0263218631604083E-2</v>
      </c>
      <c r="O169" s="30">
        <v>1.6000000000000001E-3</v>
      </c>
      <c r="S169" s="33">
        <v>240.44326358175454</v>
      </c>
    </row>
    <row r="170" spans="11:19">
      <c r="K170" s="42">
        <v>6.0496427402935773E-2</v>
      </c>
      <c r="L170" s="38">
        <v>2.5837075242855931E-2</v>
      </c>
      <c r="M170" s="38">
        <v>0.22725464028670397</v>
      </c>
      <c r="N170" s="38">
        <f t="shared" si="3"/>
        <v>4.2943009181395375E-3</v>
      </c>
      <c r="O170" s="30">
        <v>1.5E-3</v>
      </c>
      <c r="S170" s="33">
        <v>223.75569344511183</v>
      </c>
    </row>
    <row r="171" spans="11:19">
      <c r="K171" s="42">
        <v>-6.280871028858262E-2</v>
      </c>
      <c r="L171" s="38">
        <v>1.3172232382845971E-2</v>
      </c>
      <c r="M171" s="38">
        <v>-0.41048884932723506</v>
      </c>
      <c r="N171" s="38">
        <f t="shared" si="3"/>
        <v>-6.9403358979814644E-2</v>
      </c>
      <c r="O171" s="30">
        <v>1.9E-3</v>
      </c>
      <c r="S171" s="33">
        <v>227.75183180407944</v>
      </c>
    </row>
    <row r="172" spans="11:19">
      <c r="K172" s="42">
        <v>-2.2590399659434858E-3</v>
      </c>
      <c r="L172" s="38">
        <v>4.9360583842949689E-2</v>
      </c>
      <c r="M172" s="38">
        <v>0.1696870020835245</v>
      </c>
      <c r="N172" s="38">
        <f t="shared" si="3"/>
        <v>1.785938179914015E-2</v>
      </c>
      <c r="O172" s="30">
        <v>1.8E-3</v>
      </c>
      <c r="S172" s="33">
        <v>206.84946201069371</v>
      </c>
    </row>
    <row r="173" spans="11:19">
      <c r="K173" s="42">
        <v>-0.14226412023388366</v>
      </c>
      <c r="L173" s="38">
        <v>-0.1215111748561737</v>
      </c>
      <c r="M173" s="38">
        <v>-0.13333334527291832</v>
      </c>
      <c r="N173" s="38">
        <f t="shared" si="3"/>
        <v>-9.1776955767217339E-2</v>
      </c>
      <c r="O173" s="30">
        <v>1.9E-3</v>
      </c>
      <c r="S173" s="33">
        <v>223.12528879794039</v>
      </c>
    </row>
    <row r="174" spans="11:19">
      <c r="K174" s="42">
        <v>7.4644319631229167E-2</v>
      </c>
      <c r="L174" s="38">
        <v>3.1228195924029322E-2</v>
      </c>
      <c r="M174" s="38">
        <v>0.32231858385866358</v>
      </c>
      <c r="N174" s="38">
        <f t="shared" si="3"/>
        <v>7.8684404731036883E-2</v>
      </c>
      <c r="O174" s="30">
        <v>2.0999999999999999E-3</v>
      </c>
      <c r="S174" s="33">
        <v>229.75856492177695</v>
      </c>
    </row>
    <row r="175" spans="11:19">
      <c r="K175" s="42">
        <v>7.8466158512334669E-2</v>
      </c>
      <c r="L175" s="38">
        <v>2.6750807857015012E-2</v>
      </c>
      <c r="M175" s="38">
        <v>-3.6050764697562951E-2</v>
      </c>
      <c r="N175" s="38">
        <f t="shared" si="3"/>
        <v>2.9728930143116061E-2</v>
      </c>
      <c r="O175" s="30">
        <v>1.8E-3</v>
      </c>
      <c r="S175" s="33">
        <v>233.87682355270971</v>
      </c>
    </row>
    <row r="176" spans="11:19">
      <c r="K176" s="42">
        <v>2.2396612676205904E-2</v>
      </c>
      <c r="L176" s="38">
        <v>2.3053234122913879E-2</v>
      </c>
      <c r="M176" s="38">
        <v>8.4572873482642599E-2</v>
      </c>
      <c r="N176" s="38">
        <f t="shared" si="3"/>
        <v>1.7924287751078349E-2</v>
      </c>
      <c r="O176" s="30">
        <v>1.9E-3</v>
      </c>
      <c r="S176" s="33">
        <v>243.07132483992336</v>
      </c>
    </row>
    <row r="177" spans="11:19">
      <c r="K177" s="42">
        <v>-6.4356961982766255E-3</v>
      </c>
      <c r="L177" s="38">
        <v>1.0086585090702966E-2</v>
      </c>
      <c r="M177" s="38">
        <v>8.2680198477858083E-2</v>
      </c>
      <c r="N177" s="38">
        <f t="shared" si="3"/>
        <v>3.9313434942139347E-2</v>
      </c>
      <c r="O177" s="30">
        <v>2.0999999999999999E-3</v>
      </c>
      <c r="S177" s="33">
        <v>227.08264571918932</v>
      </c>
    </row>
    <row r="178" spans="11:19">
      <c r="K178" s="42">
        <v>-0.1184604170507657</v>
      </c>
      <c r="L178" s="38">
        <v>-7.1175660545104047E-2</v>
      </c>
      <c r="M178" s="38">
        <v>-7.9623351442906186E-3</v>
      </c>
      <c r="N178" s="38">
        <f t="shared" si="3"/>
        <v>-6.5777726481161536E-2</v>
      </c>
      <c r="O178" s="30">
        <v>2.0999999999999999E-3</v>
      </c>
      <c r="S178" s="33">
        <v>242.73549409201922</v>
      </c>
    </row>
    <row r="179" spans="11:19">
      <c r="K179" s="42">
        <v>8.2803460340783952E-2</v>
      </c>
      <c r="L179" s="38">
        <v>6.1990127801526601E-2</v>
      </c>
      <c r="M179" s="38">
        <v>0.10798982153590762</v>
      </c>
      <c r="N179" s="38">
        <f t="shared" si="3"/>
        <v>6.8930183208214979E-2</v>
      </c>
      <c r="O179" s="30">
        <v>1.8E-3</v>
      </c>
      <c r="S179" s="33">
        <v>245.92217308073134</v>
      </c>
    </row>
    <row r="180" spans="11:19">
      <c r="K180" s="42">
        <v>-2.9622820363146448E-2</v>
      </c>
      <c r="L180" s="38">
        <v>-6.5048805557144096E-2</v>
      </c>
      <c r="M180" s="38">
        <v>2.6341758806508499E-3</v>
      </c>
      <c r="N180" s="38">
        <f t="shared" si="3"/>
        <v>1.3128195366039375E-2</v>
      </c>
      <c r="O180" s="30">
        <v>1.9E-3</v>
      </c>
      <c r="S180" s="33">
        <v>241.47303452373089</v>
      </c>
    </row>
    <row r="181" spans="11:19">
      <c r="K181" s="42">
        <v>-7.9074733797129926E-2</v>
      </c>
      <c r="L181" s="38">
        <v>-1.4283524749774375E-2</v>
      </c>
      <c r="M181" s="38">
        <v>3.2840721673054768E-2</v>
      </c>
      <c r="N181" s="38">
        <f t="shared" si="3"/>
        <v>-1.8091652742267761E-2</v>
      </c>
      <c r="O181" s="30">
        <v>1.6000000000000001E-3</v>
      </c>
      <c r="S181" s="33">
        <v>245.62182322265488</v>
      </c>
    </row>
    <row r="182" spans="11:19">
      <c r="K182" s="42">
        <v>3.1103930330083823E-2</v>
      </c>
      <c r="L182" s="38">
        <v>7.9464339950983103E-3</v>
      </c>
      <c r="M182" s="38">
        <v>-7.8219425505392792E-2</v>
      </c>
      <c r="N182" s="38">
        <f t="shared" si="3"/>
        <v>1.7181167690656807E-2</v>
      </c>
      <c r="O182" s="30">
        <v>1.8E-3</v>
      </c>
      <c r="S182" s="33">
        <v>250.64030629084422</v>
      </c>
    </row>
    <row r="183" spans="11:19">
      <c r="K183" s="42">
        <v>-4.3053404464659835E-2</v>
      </c>
      <c r="L183" s="38">
        <v>2.0559501491205143E-2</v>
      </c>
      <c r="M183" s="38">
        <v>0.17040360721144904</v>
      </c>
      <c r="N183" s="38">
        <f t="shared" si="3"/>
        <v>2.0431747482144935E-2</v>
      </c>
      <c r="O183" s="30">
        <v>1.5E-3</v>
      </c>
      <c r="S183" s="33">
        <v>259.17387286289522</v>
      </c>
    </row>
    <row r="184" spans="11:19">
      <c r="K184" s="42">
        <v>8.2876655486598307E-3</v>
      </c>
      <c r="L184" s="38">
        <v>4.1275465647904006E-2</v>
      </c>
      <c r="M184" s="38">
        <v>0.15384618843952239</v>
      </c>
      <c r="N184" s="38">
        <f t="shared" si="3"/>
        <v>3.404706409091518E-2</v>
      </c>
      <c r="O184" s="30">
        <v>1.1999999999999999E-3</v>
      </c>
      <c r="S184" s="33">
        <v>266.58360287807778</v>
      </c>
    </row>
    <row r="185" spans="11:19">
      <c r="K185" s="42">
        <v>2.4218429361467918E-2</v>
      </c>
      <c r="L185" s="38">
        <v>6.0949809362252784E-2</v>
      </c>
      <c r="M185" s="38">
        <v>0.17139205167175325</v>
      </c>
      <c r="N185" s="38">
        <f t="shared" si="3"/>
        <v>2.8589803182446305E-2</v>
      </c>
      <c r="O185" s="30">
        <v>1.4000000000000002E-3</v>
      </c>
      <c r="S185" s="33">
        <v>266.14958083041785</v>
      </c>
    </row>
    <row r="186" spans="11:19">
      <c r="K186" s="42">
        <v>-0.10977357382363219</v>
      </c>
      <c r="L186" s="38">
        <v>2.0566258315083179E-2</v>
      </c>
      <c r="M186" s="38">
        <v>2.4858250642742375E-2</v>
      </c>
      <c r="N186" s="38">
        <f t="shared" si="3"/>
        <v>-1.6280898111292741E-3</v>
      </c>
      <c r="O186" s="30">
        <v>1.2999999999999999E-3</v>
      </c>
      <c r="S186" s="33">
        <v>243.76361476005013</v>
      </c>
    </row>
    <row r="187" spans="11:19">
      <c r="K187" s="42">
        <v>-0.17192531372845826</v>
      </c>
      <c r="L187" s="38">
        <v>-9.6661515830110137E-2</v>
      </c>
      <c r="M187" s="38">
        <v>-3.2340435271567484E-2</v>
      </c>
      <c r="N187" s="38">
        <f t="shared" si="3"/>
        <v>-8.4110469009648137E-2</v>
      </c>
      <c r="O187" s="30">
        <v>1.1999999999999999E-3</v>
      </c>
      <c r="S187" s="33">
        <v>213.2640768367549</v>
      </c>
    </row>
    <row r="188" spans="11:19">
      <c r="K188" s="42">
        <v>-0.2618584324574979</v>
      </c>
      <c r="L188" s="38">
        <v>-2.4910700112704905E-2</v>
      </c>
      <c r="M188" s="38">
        <v>0</v>
      </c>
      <c r="N188" s="38">
        <f t="shared" si="3"/>
        <v>-0.12511932083595656</v>
      </c>
      <c r="O188" s="30">
        <v>1.1999999999999999E-3</v>
      </c>
      <c r="S188" s="33">
        <v>240.31536735098024</v>
      </c>
    </row>
    <row r="189" spans="11:19">
      <c r="K189" s="42">
        <v>0.22386093565267992</v>
      </c>
      <c r="L189" s="38">
        <v>0.14420794401875972</v>
      </c>
      <c r="M189" s="38">
        <v>0.15193491462098491</v>
      </c>
      <c r="N189" s="38">
        <f t="shared" si="3"/>
        <v>0.12684410293315374</v>
      </c>
      <c r="O189" s="30">
        <v>0</v>
      </c>
      <c r="S189" s="33">
        <v>251.19727374744207</v>
      </c>
    </row>
    <row r="190" spans="11:19">
      <c r="K190" s="42">
        <v>-2.1519259172183624E-2</v>
      </c>
      <c r="L190" s="38">
        <v>-8.5976629155983704E-3</v>
      </c>
      <c r="M190" s="38">
        <v>2.6913530518015361E-2</v>
      </c>
      <c r="N190" s="38">
        <f t="shared" si="3"/>
        <v>4.528177501261843E-2</v>
      </c>
      <c r="O190" s="30">
        <v>1E-4</v>
      </c>
      <c r="S190" s="33">
        <v>255.81639052082645</v>
      </c>
    </row>
    <row r="191" spans="11:19">
      <c r="K191" s="42">
        <v>-1.6494391463937646E-2</v>
      </c>
      <c r="L191" s="38">
        <v>-5.4588202468487397E-2</v>
      </c>
      <c r="M191" s="38">
        <v>-2.2118933895620665E-2</v>
      </c>
      <c r="N191" s="38">
        <f t="shared" si="3"/>
        <v>1.8388403283502663E-2</v>
      </c>
      <c r="O191" s="30">
        <v>1E-4</v>
      </c>
      <c r="S191" s="33">
        <v>269.91220542610074</v>
      </c>
    </row>
    <row r="192" spans="11:19">
      <c r="K192" s="42">
        <v>-5.9033974006830969E-2</v>
      </c>
      <c r="L192" s="38">
        <v>3.6478627930776768E-2</v>
      </c>
      <c r="M192" s="38">
        <v>0.47177341583114574</v>
      </c>
      <c r="N192" s="38">
        <f t="shared" si="3"/>
        <v>5.5101296975444303E-2</v>
      </c>
      <c r="O192" s="30">
        <v>1E-4</v>
      </c>
      <c r="S192" s="33">
        <v>288.82351970427089</v>
      </c>
    </row>
    <row r="193" spans="11:19">
      <c r="K193" s="42">
        <v>-5.0855587243971996E-2</v>
      </c>
      <c r="L193" s="38">
        <v>5.2483599365906006E-2</v>
      </c>
      <c r="M193" s="38">
        <v>0.17293038017401877</v>
      </c>
      <c r="N193" s="38">
        <f t="shared" si="3"/>
        <v>7.0064687324219221E-2</v>
      </c>
      <c r="O193" s="30">
        <v>1E-4</v>
      </c>
      <c r="S193" s="33">
        <v>277.49356393161264</v>
      </c>
    </row>
    <row r="194" spans="11:19">
      <c r="K194" s="42">
        <v>-0.14046061563714568</v>
      </c>
      <c r="L194" s="38">
        <v>-2.9528705241897702E-2</v>
      </c>
      <c r="M194" s="38">
        <v>-9.7225301263218392E-2</v>
      </c>
      <c r="N194" s="38">
        <f t="shared" si="3"/>
        <v>-3.9227954095494399E-2</v>
      </c>
      <c r="O194" s="30">
        <v>1E-4</v>
      </c>
      <c r="S194" s="33">
        <v>269.81648953726318</v>
      </c>
    </row>
    <row r="195" spans="11:19">
      <c r="K195" s="42">
        <v>-4.9810743022537934E-2</v>
      </c>
      <c r="L195" s="38">
        <v>-7.905698472891258E-2</v>
      </c>
      <c r="M195" s="38">
        <v>-8.1717247503464582E-2</v>
      </c>
      <c r="N195" s="38">
        <f t="shared" si="3"/>
        <v>-2.7665774606006499E-2</v>
      </c>
      <c r="O195" s="30">
        <v>1E-4</v>
      </c>
      <c r="S195" s="33">
        <v>298.83408145752196</v>
      </c>
    </row>
    <row r="196" spans="11:19">
      <c r="K196" s="42">
        <v>0.16891484723025721</v>
      </c>
      <c r="L196" s="38">
        <v>5.521108622078269E-2</v>
      </c>
      <c r="M196" s="38">
        <v>0.23070796301451166</v>
      </c>
      <c r="N196" s="38">
        <f t="shared" si="3"/>
        <v>0.10754565805086314</v>
      </c>
      <c r="O196" s="30">
        <v>1E-4</v>
      </c>
      <c r="S196" s="33">
        <v>309.92722291900458</v>
      </c>
    </row>
    <row r="197" spans="11:19">
      <c r="K197" s="42">
        <v>8.1038554052698039E-2</v>
      </c>
      <c r="L197" s="38">
        <v>8.7780016933586502E-2</v>
      </c>
      <c r="M197" s="38">
        <v>-1.025258515098889E-2</v>
      </c>
      <c r="N197" s="38">
        <f t="shared" si="3"/>
        <v>3.712140665943231E-2</v>
      </c>
      <c r="O197" s="30">
        <v>1E-4</v>
      </c>
      <c r="S197" s="33">
        <v>306.47567496204368</v>
      </c>
    </row>
    <row r="198" spans="11:19">
      <c r="K198" s="42">
        <v>8.7821417386726996E-2</v>
      </c>
      <c r="L198" s="38">
        <v>3.6535772154039109E-2</v>
      </c>
      <c r="M198" s="38">
        <v>-6.6186890801658779E-2</v>
      </c>
      <c r="N198" s="38">
        <f t="shared" ref="N198:N261" si="4">S197/S196-1</f>
        <v>-1.1136640158463607E-2</v>
      </c>
      <c r="O198" s="30">
        <v>0</v>
      </c>
      <c r="S198" s="33">
        <v>314.47207736484262</v>
      </c>
    </row>
    <row r="199" spans="11:19">
      <c r="K199" s="42">
        <v>0.21253342432798503</v>
      </c>
      <c r="L199" s="38">
        <v>-2.8627462938532328E-2</v>
      </c>
      <c r="M199" s="38">
        <v>-1.3194736822412389E-2</v>
      </c>
      <c r="N199" s="38">
        <f t="shared" si="4"/>
        <v>2.6091474971999817E-2</v>
      </c>
      <c r="O199" s="30">
        <v>0</v>
      </c>
      <c r="S199" s="33">
        <v>327.81784276189853</v>
      </c>
    </row>
    <row r="200" spans="11:19">
      <c r="K200" s="42">
        <v>2.6853097808573197E-2</v>
      </c>
      <c r="L200" s="38">
        <v>3.7170258362313892E-2</v>
      </c>
      <c r="M200" s="38">
        <v>-7.1115867758970358E-2</v>
      </c>
      <c r="N200" s="38">
        <f t="shared" si="4"/>
        <v>4.2438634008107767E-2</v>
      </c>
      <c r="O200" s="30">
        <v>0</v>
      </c>
      <c r="S200" s="33">
        <v>345.00379563007471</v>
      </c>
    </row>
    <row r="201" spans="11:19">
      <c r="K201" s="42">
        <v>2.525523555737761E-2</v>
      </c>
      <c r="L201" s="38">
        <v>-9.8570752407286261E-3</v>
      </c>
      <c r="M201" s="38">
        <v>3.974525791824244E-2</v>
      </c>
      <c r="N201" s="38">
        <f t="shared" si="4"/>
        <v>5.242531255584737E-2</v>
      </c>
      <c r="O201" s="30">
        <v>0</v>
      </c>
      <c r="S201" s="33">
        <v>346.89665984553443</v>
      </c>
    </row>
    <row r="202" spans="11:19">
      <c r="K202" s="42">
        <v>1.9741390990263792E-2</v>
      </c>
      <c r="L202" s="38">
        <v>4.0066394909623576E-2</v>
      </c>
      <c r="M202" s="38">
        <v>-1.8867935110328502E-2</v>
      </c>
      <c r="N202" s="38">
        <f t="shared" si="4"/>
        <v>5.4865025818131574E-3</v>
      </c>
      <c r="O202" s="30">
        <v>0</v>
      </c>
      <c r="S202" s="33">
        <v>354.60261403392968</v>
      </c>
    </row>
    <row r="203" spans="11:19">
      <c r="K203" s="42">
        <v>8.0692187516849007E-2</v>
      </c>
      <c r="L203" s="38">
        <v>-2.6646939479089735E-2</v>
      </c>
      <c r="M203" s="38">
        <v>0.17295202494301296</v>
      </c>
      <c r="N203" s="38">
        <f t="shared" si="4"/>
        <v>2.221397632316946E-2</v>
      </c>
      <c r="O203" s="30">
        <v>0</v>
      </c>
      <c r="S203" s="33">
        <v>362.66915307941127</v>
      </c>
    </row>
    <row r="204" spans="11:19">
      <c r="K204" s="42">
        <v>-8.7349428920242347E-2</v>
      </c>
      <c r="L204" s="38">
        <v>4.5283423614962057E-2</v>
      </c>
      <c r="M204" s="38">
        <v>0.13052275201105171</v>
      </c>
      <c r="N204" s="38">
        <f t="shared" si="4"/>
        <v>2.274810936591054E-2</v>
      </c>
      <c r="O204" s="30">
        <v>0</v>
      </c>
      <c r="S204" s="33">
        <v>373.18304838603223</v>
      </c>
    </row>
    <row r="205" spans="11:19">
      <c r="K205" s="42">
        <v>-5.297896913719724E-2</v>
      </c>
      <c r="L205" s="38">
        <v>5.4007430374684801E-3</v>
      </c>
      <c r="M205" s="38">
        <v>4.2659371646558232E-2</v>
      </c>
      <c r="N205" s="38">
        <f t="shared" si="4"/>
        <v>2.8990321391681118E-2</v>
      </c>
      <c r="O205" s="30">
        <v>0</v>
      </c>
      <c r="S205" s="33">
        <v>355.43105155455817</v>
      </c>
    </row>
    <row r="206" spans="11:19">
      <c r="K206" s="42">
        <v>7.8870124742418724E-2</v>
      </c>
      <c r="L206" s="38">
        <v>-6.7174981544559934E-2</v>
      </c>
      <c r="M206" s="38">
        <v>-7.0628609181788787E-2</v>
      </c>
      <c r="N206" s="38">
        <f t="shared" si="4"/>
        <v>-4.7569140421166334E-2</v>
      </c>
      <c r="O206" s="30">
        <v>0</v>
      </c>
      <c r="S206" s="33">
        <v>380.00693115057112</v>
      </c>
    </row>
    <row r="207" spans="11:19">
      <c r="K207" s="42">
        <v>9.6055789785664855E-2</v>
      </c>
      <c r="L207" s="38">
        <v>8.544921875E-3</v>
      </c>
      <c r="M207" s="38">
        <v>0.16841595310080018</v>
      </c>
      <c r="N207" s="38">
        <f t="shared" si="4"/>
        <v>6.9143873301234615E-2</v>
      </c>
      <c r="O207" s="30">
        <v>0</v>
      </c>
      <c r="S207" s="33">
        <v>376.84005544920467</v>
      </c>
    </row>
    <row r="208" spans="11:19">
      <c r="K208" s="42">
        <v>-7.1816363897142466E-2</v>
      </c>
      <c r="L208" s="38">
        <v>-4.2669523567558737E-2</v>
      </c>
      <c r="M208" s="38">
        <v>0.31722524074981151</v>
      </c>
      <c r="N208" s="38">
        <f t="shared" si="4"/>
        <v>-8.3337314184714906E-3</v>
      </c>
      <c r="O208" s="30">
        <v>0</v>
      </c>
      <c r="S208" s="33">
        <v>393.27513367218972</v>
      </c>
    </row>
    <row r="209" spans="11:19">
      <c r="K209" s="42">
        <v>2.2560134870967419E-2</v>
      </c>
      <c r="L209" s="38">
        <v>9.7094948756378793E-2</v>
      </c>
      <c r="M209" s="38">
        <v>-9.1368325231025602E-2</v>
      </c>
      <c r="N209" s="38">
        <f t="shared" si="4"/>
        <v>4.3612874972629889E-2</v>
      </c>
      <c r="O209" s="30">
        <v>1E-4</v>
      </c>
      <c r="S209" s="33">
        <v>372.59472572447038</v>
      </c>
    </row>
    <row r="210" spans="11:19">
      <c r="K210" s="42">
        <v>0.24137932324313985</v>
      </c>
      <c r="L210" s="38">
        <v>7.1315011964773935E-3</v>
      </c>
      <c r="M210" s="38">
        <v>-0.20604583150860548</v>
      </c>
      <c r="N210" s="38">
        <f t="shared" si="4"/>
        <v>-5.2585089106999772E-2</v>
      </c>
      <c r="O210" s="30">
        <v>0</v>
      </c>
      <c r="S210" s="33">
        <v>360.90996105353497</v>
      </c>
    </row>
    <row r="211" spans="11:19">
      <c r="K211" s="42">
        <v>3.2385454372333138E-2</v>
      </c>
      <c r="L211" s="38">
        <v>-4.4808092534387632E-2</v>
      </c>
      <c r="M211" s="38">
        <v>7.956233118503829E-2</v>
      </c>
      <c r="N211" s="38">
        <f t="shared" si="4"/>
        <v>-3.1360520866782648E-2</v>
      </c>
      <c r="O211" s="30">
        <v>0</v>
      </c>
      <c r="S211" s="33">
        <v>373.8208792659583</v>
      </c>
    </row>
    <row r="212" spans="11:19">
      <c r="K212" s="42">
        <v>5.3175188297781055E-2</v>
      </c>
      <c r="L212" s="38">
        <v>7.6927677218722595E-2</v>
      </c>
      <c r="M212" s="38">
        <v>-0.11350738134973606</v>
      </c>
      <c r="N212" s="38">
        <f t="shared" si="4"/>
        <v>3.5773238773280092E-2</v>
      </c>
      <c r="O212" s="30">
        <v>0</v>
      </c>
      <c r="S212" s="33">
        <v>340.94082117631547</v>
      </c>
    </row>
    <row r="213" spans="11:19">
      <c r="K213" s="42">
        <v>3.2207334786973699E-2</v>
      </c>
      <c r="L213" s="38">
        <v>1.8224967918487777E-2</v>
      </c>
      <c r="M213" s="38">
        <v>-0.21785257447068021</v>
      </c>
      <c r="N213" s="38">
        <f t="shared" si="4"/>
        <v>-8.7956719149039353E-2</v>
      </c>
      <c r="O213" s="30">
        <v>0</v>
      </c>
      <c r="S213" s="33">
        <v>340.95897418971566</v>
      </c>
    </row>
    <row r="214" spans="11:19">
      <c r="K214" s="42">
        <v>0.12609970674486803</v>
      </c>
      <c r="L214" s="38">
        <v>-5.1535403965982862E-3</v>
      </c>
      <c r="M214" s="38">
        <v>0.19106647110246272</v>
      </c>
      <c r="N214" s="38">
        <f t="shared" si="4"/>
        <v>5.3243883608722342E-5</v>
      </c>
      <c r="O214" s="30">
        <v>2.9999999999999997E-4</v>
      </c>
      <c r="S214" s="33">
        <v>312.34569938609826</v>
      </c>
    </row>
    <row r="215" spans="11:19">
      <c r="K215" s="42">
        <v>-0.10791667302449544</v>
      </c>
      <c r="L215" s="38">
        <v>-1.1251625278203262E-2</v>
      </c>
      <c r="M215" s="38">
        <v>-0.24926368778234789</v>
      </c>
      <c r="N215" s="38">
        <f t="shared" si="4"/>
        <v>-8.3919993223866451E-2</v>
      </c>
      <c r="O215" s="30">
        <v>5.9999999999999995E-4</v>
      </c>
      <c r="S215" s="33">
        <v>340.80549871278646</v>
      </c>
    </row>
    <row r="216" spans="11:19">
      <c r="K216" s="42">
        <v>0.13183093176074917</v>
      </c>
      <c r="L216" s="38">
        <v>-1.6844066964690572E-2</v>
      </c>
      <c r="M216" s="38">
        <v>0.23538642229191917</v>
      </c>
      <c r="N216" s="38">
        <f t="shared" si="4"/>
        <v>9.1116347632205885E-2</v>
      </c>
      <c r="O216" s="30">
        <v>8.0000000000000004E-4</v>
      </c>
      <c r="S216" s="33">
        <v>326.34167271767126</v>
      </c>
    </row>
    <row r="217" spans="11:19">
      <c r="K217" s="42">
        <v>-1.38244502534434E-2</v>
      </c>
      <c r="L217" s="38">
        <v>-7.5521473824821023E-2</v>
      </c>
      <c r="M217" s="38">
        <v>-0.10161954430055889</v>
      </c>
      <c r="N217" s="38">
        <f t="shared" si="4"/>
        <v>-4.2440119216810457E-2</v>
      </c>
      <c r="O217" s="30">
        <v>1.9E-3</v>
      </c>
      <c r="S217" s="33">
        <v>295.8627632186944</v>
      </c>
    </row>
    <row r="218" spans="11:19">
      <c r="K218" s="42">
        <v>-8.6619929872460852E-2</v>
      </c>
      <c r="L218" s="38">
        <v>1.2520170560996476E-2</v>
      </c>
      <c r="M218" s="38">
        <v>-0.25344646447648123</v>
      </c>
      <c r="N218" s="38">
        <f t="shared" si="4"/>
        <v>-9.3395701643489315E-2</v>
      </c>
      <c r="O218" s="30">
        <v>1.9E-3</v>
      </c>
      <c r="S218" s="33">
        <v>319.4913855700047</v>
      </c>
    </row>
    <row r="219" spans="11:19">
      <c r="K219" s="42">
        <v>0.26915588886861608</v>
      </c>
      <c r="L219" s="38">
        <v>6.4948583317275307E-2</v>
      </c>
      <c r="M219" s="38">
        <v>-5.2083320790268478E-2</v>
      </c>
      <c r="N219" s="38">
        <f t="shared" si="4"/>
        <v>7.9863454576893256E-2</v>
      </c>
      <c r="O219" s="30">
        <v>2.3E-3</v>
      </c>
      <c r="S219" s="33">
        <v>336.66496138358974</v>
      </c>
    </row>
    <row r="220" spans="11:19">
      <c r="K220" s="42">
        <v>4.782950915747688E-3</v>
      </c>
      <c r="L220" s="38">
        <v>2.3164906311544529E-2</v>
      </c>
      <c r="M220" s="38">
        <v>0.29254071725580111</v>
      </c>
      <c r="N220" s="38">
        <f t="shared" si="4"/>
        <v>5.3752860293699856E-2</v>
      </c>
      <c r="O220" s="30">
        <v>2.8999999999999998E-3</v>
      </c>
      <c r="S220" s="33">
        <v>316.81134068255335</v>
      </c>
    </row>
    <row r="221" spans="11:19">
      <c r="K221" s="42">
        <v>-9.3406980450823629E-3</v>
      </c>
      <c r="L221" s="38">
        <v>-7.5843039523349719E-3</v>
      </c>
      <c r="M221" s="38">
        <v>-0.16565762031874026</v>
      </c>
      <c r="N221" s="38">
        <f t="shared" si="4"/>
        <v>-5.8971449299161094E-2</v>
      </c>
      <c r="O221" s="30">
        <v>3.3E-3</v>
      </c>
      <c r="S221" s="33">
        <v>336.37533830615882</v>
      </c>
    </row>
    <row r="222" spans="11:19">
      <c r="K222" s="42">
        <v>5.1767895979053263E-2</v>
      </c>
      <c r="L222" s="38">
        <v>-7.4893836312792311E-2</v>
      </c>
      <c r="M222" s="38">
        <v>0.16025946303524588</v>
      </c>
      <c r="N222" s="38">
        <f t="shared" si="4"/>
        <v>6.1752832400052027E-2</v>
      </c>
      <c r="O222" s="30">
        <v>3.4999999999999996E-3</v>
      </c>
      <c r="S222" s="33">
        <v>327.59175523136844</v>
      </c>
    </row>
    <row r="223" spans="11:19">
      <c r="K223" s="42">
        <v>-5.2581659872377812E-2</v>
      </c>
      <c r="L223" s="38">
        <v>-6.217111599527652E-2</v>
      </c>
      <c r="M223" s="38">
        <v>4.5642052369015786E-2</v>
      </c>
      <c r="N223" s="38">
        <f t="shared" si="4"/>
        <v>-2.6112446646715304E-2</v>
      </c>
      <c r="O223" s="30">
        <v>3.4000000000000002E-3</v>
      </c>
      <c r="S223" s="33">
        <v>339.07436134398313</v>
      </c>
    </row>
    <row r="224" spans="11:19">
      <c r="K224" s="42">
        <v>-2.274588223730408E-3</v>
      </c>
      <c r="L224" s="38">
        <v>1.1353292154049061E-2</v>
      </c>
      <c r="M224" s="38">
        <v>0.24726393296541102</v>
      </c>
      <c r="N224" s="38">
        <f t="shared" si="4"/>
        <v>3.5051572358727023E-2</v>
      </c>
      <c r="O224" s="30">
        <v>3.5999999999999999E-3</v>
      </c>
      <c r="S224" s="33">
        <v>344.03921050894445</v>
      </c>
    </row>
    <row r="225" spans="11:19">
      <c r="K225" s="42">
        <v>7.9153678514607168E-2</v>
      </c>
      <c r="L225" s="38">
        <v>5.6129012569304436E-2</v>
      </c>
      <c r="M225" s="38">
        <v>-8.8154261823595731E-2</v>
      </c>
      <c r="N225" s="38">
        <f t="shared" si="4"/>
        <v>1.464236088297044E-2</v>
      </c>
      <c r="O225" s="30">
        <v>3.4999999999999996E-3</v>
      </c>
      <c r="S225" s="33">
        <v>344.89322727572778</v>
      </c>
    </row>
    <row r="226" spans="11:19">
      <c r="K226" s="42">
        <v>-0.13655565770488928</v>
      </c>
      <c r="L226" s="38">
        <v>-5.2779471904206496E-2</v>
      </c>
      <c r="M226" s="38">
        <v>0.32270331712609929</v>
      </c>
      <c r="N226" s="38">
        <f t="shared" si="4"/>
        <v>2.4823239348792381E-3</v>
      </c>
      <c r="O226" s="30">
        <v>3.5999999999999999E-3</v>
      </c>
      <c r="S226" s="33">
        <v>367.21730807314015</v>
      </c>
    </row>
    <row r="227" spans="11:19">
      <c r="K227" s="42">
        <v>4.9618317475845664E-2</v>
      </c>
      <c r="L227" s="38">
        <v>6.7457802647743384E-2</v>
      </c>
      <c r="M227" s="38">
        <v>-3.6375902678846245E-2</v>
      </c>
      <c r="N227" s="38">
        <f t="shared" si="4"/>
        <v>6.4727512841431301E-2</v>
      </c>
      <c r="O227" s="30">
        <v>4.0000000000000001E-3</v>
      </c>
      <c r="S227" s="33">
        <v>378.65205624133608</v>
      </c>
    </row>
    <row r="228" spans="11:19">
      <c r="K228" s="42">
        <v>-9.3260011472902094E-5</v>
      </c>
      <c r="L228" s="38">
        <v>1.2143514106774092E-2</v>
      </c>
      <c r="M228" s="38">
        <v>4.301622754951437E-3</v>
      </c>
      <c r="N228" s="38">
        <f t="shared" si="4"/>
        <v>3.1138913980379268E-2</v>
      </c>
      <c r="O228" s="30">
        <v>4.5000000000000005E-3</v>
      </c>
      <c r="S228" s="33">
        <v>371.94369265298042</v>
      </c>
    </row>
    <row r="229" spans="11:19">
      <c r="K229" s="42">
        <v>3.6833314587105259E-2</v>
      </c>
      <c r="L229" s="38">
        <v>-3.4919155650579285E-2</v>
      </c>
      <c r="M229" s="38">
        <v>-7.5874127529729468E-2</v>
      </c>
      <c r="N229" s="38">
        <f t="shared" si="4"/>
        <v>-1.771643248143373E-2</v>
      </c>
      <c r="O229" s="30">
        <v>4.5000000000000005E-3</v>
      </c>
      <c r="S229" s="33">
        <v>353.82285959469277</v>
      </c>
    </row>
    <row r="230" spans="11:19">
      <c r="K230" s="42">
        <v>5.7469190119100615E-2</v>
      </c>
      <c r="L230" s="38">
        <v>-3.6677343792764341E-2</v>
      </c>
      <c r="M230" s="38">
        <v>-2.7430963794871765E-2</v>
      </c>
      <c r="N230" s="38">
        <f t="shared" si="4"/>
        <v>-4.871929116215501E-2</v>
      </c>
      <c r="O230" s="30">
        <v>4.3E-3</v>
      </c>
      <c r="S230" s="33">
        <v>346.04594362664204</v>
      </c>
    </row>
    <row r="231" spans="11:19">
      <c r="K231" s="42">
        <v>-9.9761891259262755E-2</v>
      </c>
      <c r="L231" s="38">
        <v>-4.7576267493479131E-2</v>
      </c>
      <c r="M231" s="38">
        <v>-4.2015169302141907E-2</v>
      </c>
      <c r="N231" s="38">
        <f t="shared" si="4"/>
        <v>-2.1979687736850217E-2</v>
      </c>
      <c r="O231" s="30">
        <v>4.6999999999999993E-3</v>
      </c>
      <c r="S231" s="33">
        <v>376.90606640702362</v>
      </c>
    </row>
    <row r="232" spans="11:19">
      <c r="K232" s="42">
        <v>-2.9381206000790978E-2</v>
      </c>
      <c r="L232" s="38">
        <v>4.2604877175694146E-2</v>
      </c>
      <c r="M232" s="38">
        <v>0.23005079860009517</v>
      </c>
      <c r="N232" s="38">
        <f t="shared" si="4"/>
        <v>8.9179264628737709E-2</v>
      </c>
      <c r="O232" s="30">
        <v>4.4000000000000003E-3</v>
      </c>
      <c r="S232" s="33">
        <v>393.57630866723878</v>
      </c>
    </row>
    <row r="233" spans="11:19">
      <c r="K233" s="42">
        <v>-2.6863875454772892E-2</v>
      </c>
      <c r="L233" s="38">
        <v>1.3448867074896323E-2</v>
      </c>
      <c r="M233" s="38">
        <v>0.21665565538612822</v>
      </c>
      <c r="N233" s="38">
        <f t="shared" si="4"/>
        <v>4.4229169403213753E-2</v>
      </c>
      <c r="O233" s="30">
        <v>4.3E-3</v>
      </c>
      <c r="S233" s="33">
        <v>399.83249719453426</v>
      </c>
    </row>
    <row r="234" spans="11:19">
      <c r="K234" s="42">
        <v>2.8305602186838662E-2</v>
      </c>
      <c r="L234" s="38">
        <v>1.3780708993368746E-2</v>
      </c>
      <c r="M234" s="38">
        <v>0.13757545807937385</v>
      </c>
      <c r="N234" s="38">
        <f t="shared" si="4"/>
        <v>1.5895744712075555E-2</v>
      </c>
      <c r="O234" s="30">
        <v>4.6999999999999993E-3</v>
      </c>
      <c r="S234" s="33">
        <v>420.51208000528089</v>
      </c>
    </row>
    <row r="235" spans="11:19">
      <c r="K235" s="42">
        <v>1.6632614775601847E-2</v>
      </c>
      <c r="L235" s="38">
        <v>1.560736992818094E-2</v>
      </c>
      <c r="M235" s="38">
        <v>0.14813045486459542</v>
      </c>
      <c r="N235" s="38">
        <f t="shared" si="4"/>
        <v>5.1720615397315317E-2</v>
      </c>
      <c r="O235" s="30">
        <v>4.1999999999999997E-3</v>
      </c>
      <c r="S235" s="33">
        <v>433.55584527031488</v>
      </c>
    </row>
    <row r="236" spans="11:19">
      <c r="K236" s="42">
        <v>0.11213166472561881</v>
      </c>
      <c r="L236" s="38">
        <v>-1.976702407291844E-2</v>
      </c>
      <c r="M236" s="38">
        <v>-6.253567424541788E-2</v>
      </c>
      <c r="N236" s="38">
        <f t="shared" si="4"/>
        <v>3.1018764704381807E-2</v>
      </c>
      <c r="O236" s="30">
        <v>4.3E-3</v>
      </c>
      <c r="S236" s="33">
        <v>415.51340022443719</v>
      </c>
    </row>
    <row r="237" spans="11:19">
      <c r="K237" s="42">
        <v>1.7463857678971954E-2</v>
      </c>
      <c r="L237" s="38">
        <v>-8.5972601894061432E-2</v>
      </c>
      <c r="M237" s="38">
        <v>-0.12249986114155759</v>
      </c>
      <c r="N237" s="38">
        <f t="shared" si="4"/>
        <v>-4.1615042774082567E-2</v>
      </c>
      <c r="O237" s="30">
        <v>4.6999999999999993E-3</v>
      </c>
      <c r="S237" s="33">
        <v>435.46686249917491</v>
      </c>
    </row>
    <row r="238" spans="11:19">
      <c r="K238" s="42">
        <v>-8.5397356515030266E-3</v>
      </c>
      <c r="L238" s="38">
        <v>1.4385516866560784E-2</v>
      </c>
      <c r="M238" s="38">
        <v>5.3794600018960283E-2</v>
      </c>
      <c r="N238" s="38">
        <f t="shared" si="4"/>
        <v>4.8021224499522619E-2</v>
      </c>
      <c r="O238" s="30">
        <v>4.4000000000000003E-3</v>
      </c>
      <c r="S238" s="33">
        <v>450.56439368935247</v>
      </c>
    </row>
    <row r="239" spans="11:19">
      <c r="K239" s="42">
        <v>-1.8250037102696164E-2</v>
      </c>
      <c r="L239" s="38">
        <v>-3.4771562910124827E-3</v>
      </c>
      <c r="M239" s="38">
        <v>-2.8100583308145816E-2</v>
      </c>
      <c r="N239" s="38">
        <f t="shared" si="4"/>
        <v>3.4669759034089864E-2</v>
      </c>
      <c r="O239" s="30">
        <v>4.0999999999999995E-3</v>
      </c>
      <c r="S239" s="33">
        <v>455.66539045481557</v>
      </c>
    </row>
    <row r="240" spans="11:19">
      <c r="K240" s="42">
        <v>3.014240365288403E-2</v>
      </c>
      <c r="L240" s="38">
        <v>7.9980857611573627E-2</v>
      </c>
      <c r="M240" s="38">
        <v>-0.10930281889207519</v>
      </c>
      <c r="N240" s="38">
        <f t="shared" si="4"/>
        <v>1.1321349038912354E-2</v>
      </c>
      <c r="O240" s="30">
        <v>4.5000000000000005E-3</v>
      </c>
      <c r="S240" s="33">
        <v>466.07036768103507</v>
      </c>
    </row>
    <row r="241" spans="11:19">
      <c r="K241" s="42">
        <v>-5.4810179320049094E-3</v>
      </c>
      <c r="L241" s="38">
        <v>5.0744340811638013E-2</v>
      </c>
      <c r="M241" s="38">
        <v>2.8239216166290389E-2</v>
      </c>
      <c r="N241" s="38">
        <f t="shared" si="4"/>
        <v>2.2834688445031892E-2</v>
      </c>
      <c r="O241" s="30">
        <v>4.7999999999999996E-3</v>
      </c>
      <c r="S241" s="33">
        <v>475.48353026602416</v>
      </c>
    </row>
    <row r="242" spans="11:19">
      <c r="K242" s="42">
        <v>-6.1048092741970957E-3</v>
      </c>
      <c r="L242" s="38">
        <v>-2.2910907016604996E-2</v>
      </c>
      <c r="M242" s="38">
        <v>0.10446960505865431</v>
      </c>
      <c r="N242" s="38">
        <f t="shared" si="4"/>
        <v>2.0196869910062976E-2</v>
      </c>
      <c r="O242" s="30">
        <v>4.0000000000000001E-3</v>
      </c>
      <c r="S242" s="33">
        <v>470.77777411050238</v>
      </c>
    </row>
    <row r="243" spans="11:19">
      <c r="K243" s="42">
        <v>-3.7536464496174889E-3</v>
      </c>
      <c r="L243" s="38">
        <v>-1.3575200428142458E-2</v>
      </c>
      <c r="M243" s="38">
        <v>-0.12195267115756904</v>
      </c>
      <c r="N243" s="38">
        <f t="shared" si="4"/>
        <v>-9.8967805528175079E-3</v>
      </c>
      <c r="O243" s="30">
        <v>3.9000000000000003E-3</v>
      </c>
      <c r="S243" s="33">
        <v>497.75397716020865</v>
      </c>
    </row>
    <row r="244" spans="11:19">
      <c r="K244" s="42">
        <v>1.0104472662359502E-2</v>
      </c>
      <c r="L244" s="38">
        <v>-3.0339084730377313E-2</v>
      </c>
      <c r="M244" s="38">
        <v>-4.7858707030841247E-2</v>
      </c>
      <c r="N244" s="38">
        <f t="shared" si="4"/>
        <v>5.7301352215863854E-2</v>
      </c>
      <c r="O244" s="30">
        <v>4.0000000000000001E-3</v>
      </c>
      <c r="S244" s="33">
        <v>485.31503729619118</v>
      </c>
    </row>
    <row r="245" spans="11:19">
      <c r="K245" s="42">
        <v>-8.8080700833237768E-2</v>
      </c>
      <c r="L245" s="38">
        <v>-6.7027932119501102E-2</v>
      </c>
      <c r="M245" s="38">
        <v>-0.11944597610140534</v>
      </c>
      <c r="N245" s="38">
        <f t="shared" si="4"/>
        <v>-2.4990136563014964E-2</v>
      </c>
      <c r="O245" s="30">
        <v>3.7000000000000002E-3</v>
      </c>
    </row>
  </sheetData>
  <mergeCells count="1">
    <mergeCell ref="K3:O3"/>
  </mergeCells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44"/>
  <sheetViews>
    <sheetView workbookViewId="0">
      <selection activeCell="X19" sqref="X19"/>
    </sheetView>
  </sheetViews>
  <sheetFormatPr defaultColWidth="8.85546875" defaultRowHeight="12.6"/>
  <cols>
    <col min="3" max="3" width="1.85546875" customWidth="1"/>
    <col min="4" max="7" width="15.42578125" customWidth="1"/>
    <col min="8" max="8" width="10.42578125" bestFit="1" customWidth="1"/>
    <col min="10" max="10" width="10.28515625" style="12" customWidth="1"/>
    <col min="11" max="11" width="11" customWidth="1"/>
    <col min="12" max="13" width="9.5703125" bestFit="1" customWidth="1"/>
    <col min="14" max="14" width="15.42578125" bestFit="1" customWidth="1"/>
    <col min="15" max="15" width="17.28515625" style="24" bestFit="1" customWidth="1"/>
    <col min="16" max="16" width="11.140625" bestFit="1" customWidth="1"/>
    <col min="17" max="17" width="11.5703125" bestFit="1" customWidth="1"/>
    <col min="18" max="18" width="10.42578125" bestFit="1" customWidth="1"/>
    <col min="19" max="19" width="11.5703125" bestFit="1" customWidth="1"/>
    <col min="20" max="20" width="11.28515625" bestFit="1" customWidth="1"/>
    <col min="22" max="23" width="8.85546875" bestFit="1" customWidth="1"/>
    <col min="24" max="24" width="9.42578125" bestFit="1" customWidth="1"/>
    <col min="25" max="25" width="8.85546875" bestFit="1" customWidth="1"/>
  </cols>
  <sheetData>
    <row r="1" spans="1:25" ht="12.95">
      <c r="A1" s="1" t="s">
        <v>22</v>
      </c>
      <c r="J1" s="15" t="s">
        <v>23</v>
      </c>
    </row>
    <row r="2" spans="1:25" ht="12.95">
      <c r="A2" s="3" t="s">
        <v>32</v>
      </c>
      <c r="J2" s="79" t="s">
        <v>8</v>
      </c>
      <c r="K2" s="79"/>
      <c r="L2" s="79"/>
      <c r="M2" s="79"/>
      <c r="N2" s="79"/>
      <c r="Q2" s="79" t="s">
        <v>33</v>
      </c>
      <c r="R2" s="79"/>
      <c r="S2" s="79"/>
      <c r="T2" s="79"/>
      <c r="U2" s="75"/>
      <c r="V2" s="79" t="s">
        <v>30</v>
      </c>
      <c r="W2" s="81"/>
      <c r="X2" s="81"/>
      <c r="Y2" s="81"/>
    </row>
    <row r="3" spans="1:25">
      <c r="C3" s="3"/>
      <c r="D3" s="18" t="str">
        <f>Stock_price!B1</f>
        <v>XOM</v>
      </c>
      <c r="E3" s="18" t="str">
        <f>Stock_price!C1</f>
        <v>JNJ</v>
      </c>
      <c r="F3" s="18" t="str">
        <f>Stock_price!D1</f>
        <v>AMD</v>
      </c>
      <c r="G3" s="18" t="str">
        <f>Stock_price!E1</f>
        <v>Market index</v>
      </c>
      <c r="H3" s="4"/>
      <c r="N3" s="24" t="s">
        <v>5</v>
      </c>
      <c r="P3" s="26"/>
      <c r="Q3" s="26" t="s">
        <v>34</v>
      </c>
      <c r="R3" s="26" t="s">
        <v>35</v>
      </c>
      <c r="S3" s="26" t="s">
        <v>36</v>
      </c>
      <c r="T3" s="26" t="s">
        <v>37</v>
      </c>
      <c r="V3" s="20" t="s">
        <v>1</v>
      </c>
      <c r="W3" s="20" t="s">
        <v>2</v>
      </c>
      <c r="X3" s="20" t="s">
        <v>3</v>
      </c>
      <c r="Y3" s="20" t="s">
        <v>38</v>
      </c>
    </row>
    <row r="4" spans="1:25">
      <c r="A4" s="3"/>
      <c r="D4" s="9"/>
      <c r="E4" s="9"/>
      <c r="F4" s="9"/>
      <c r="G4" s="9"/>
      <c r="J4" s="52" t="s">
        <v>11</v>
      </c>
      <c r="K4" s="53" t="s">
        <v>12</v>
      </c>
      <c r="L4" s="46" t="s">
        <v>13</v>
      </c>
      <c r="M4" s="53" t="s">
        <v>27</v>
      </c>
      <c r="N4" s="30">
        <v>1.6000000000000001E-3</v>
      </c>
      <c r="P4" s="44"/>
      <c r="Q4" s="45">
        <f t="shared" ref="Q4:Q67" si="0">J5-N5</f>
        <v>5.0328553203456503E-3</v>
      </c>
      <c r="R4" s="45">
        <f t="shared" ref="R4:R67" si="1">K5-N5</f>
        <v>1.8582888934923499E-2</v>
      </c>
      <c r="S4" s="45">
        <f t="shared" ref="S4:S67" si="2">L5-N5</f>
        <v>-0.28407048763506271</v>
      </c>
      <c r="T4" s="45">
        <f t="shared" ref="T4:T67" si="3">M5-N5</f>
        <v>-2.6890448214403628E-2</v>
      </c>
      <c r="V4" s="43">
        <v>6.6601217974878932E-2</v>
      </c>
      <c r="W4" s="43">
        <v>4.283040668939337E-2</v>
      </c>
      <c r="X4" s="43">
        <v>0.16934010845783343</v>
      </c>
      <c r="Y4" s="43">
        <v>4.3307152318100423E-2</v>
      </c>
    </row>
    <row r="5" spans="1:25">
      <c r="A5" s="3" t="s">
        <v>39</v>
      </c>
      <c r="B5" s="3"/>
      <c r="D5" s="40">
        <f>AVERAGE(Q4:Q243)</f>
        <v>3.995297866185815E-3</v>
      </c>
      <c r="E5" s="40">
        <f t="shared" ref="E5:G5" si="4">AVERAGE(R4:R243)</f>
        <v>3.0708891928684788E-3</v>
      </c>
      <c r="F5" s="40">
        <f t="shared" si="4"/>
        <v>1.9748784528455517E-2</v>
      </c>
      <c r="G5" s="40">
        <f t="shared" si="4"/>
        <v>6.2649300578489107E-3</v>
      </c>
      <c r="J5" s="48">
        <v>6.6328553203456502E-3</v>
      </c>
      <c r="K5" s="45">
        <v>2.0182888934923499E-2</v>
      </c>
      <c r="L5" s="49">
        <v>-0.28247048763506272</v>
      </c>
      <c r="M5" s="45">
        <v>-2.5290448214403627E-2</v>
      </c>
      <c r="N5" s="30">
        <v>1.6000000000000001E-3</v>
      </c>
      <c r="O5" s="24" t="s">
        <v>29</v>
      </c>
      <c r="P5" s="45"/>
      <c r="Q5" s="45">
        <f t="shared" si="0"/>
        <v>0.22533804739243996</v>
      </c>
      <c r="R5" s="45">
        <f t="shared" si="1"/>
        <v>1.2310379726893604E-2</v>
      </c>
      <c r="S5" s="45">
        <f t="shared" si="2"/>
        <v>0.10283041470164993</v>
      </c>
      <c r="T5" s="45">
        <f t="shared" si="3"/>
        <v>1.7303383646414306E-2</v>
      </c>
    </row>
    <row r="6" spans="1:25">
      <c r="J6" s="50">
        <v>0.22693804739243995</v>
      </c>
      <c r="K6" s="49">
        <v>1.3910379726893605E-2</v>
      </c>
      <c r="L6" s="45">
        <v>0.10443041470164993</v>
      </c>
      <c r="M6" s="45">
        <v>1.8903383646414307E-2</v>
      </c>
      <c r="N6" s="30">
        <v>1.6000000000000001E-3</v>
      </c>
      <c r="P6" s="45"/>
      <c r="Q6" s="45">
        <f t="shared" si="0"/>
        <v>-6.0700581562063961E-2</v>
      </c>
      <c r="R6" s="45">
        <f t="shared" si="1"/>
        <v>2.1680567443209564E-2</v>
      </c>
      <c r="S6" s="45">
        <f t="shared" si="2"/>
        <v>-7.8317757338482563E-2</v>
      </c>
      <c r="T6" s="45">
        <f t="shared" si="3"/>
        <v>-2.1217647058823574E-2</v>
      </c>
    </row>
    <row r="7" spans="1:25">
      <c r="A7" s="3" t="s">
        <v>40</v>
      </c>
      <c r="B7" s="3"/>
      <c r="D7" s="11">
        <f>D5/V4</f>
        <v>5.9988360388435941E-2</v>
      </c>
      <c r="E7" s="11">
        <f t="shared" ref="E7:G7" si="5">E5/W4</f>
        <v>7.1698810033222538E-2</v>
      </c>
      <c r="F7" s="11">
        <f t="shared" si="5"/>
        <v>0.11662201417198849</v>
      </c>
      <c r="G7" s="11">
        <f t="shared" si="5"/>
        <v>0.14466271094972122</v>
      </c>
      <c r="H7" s="9"/>
      <c r="J7" s="50">
        <v>-5.8600581562063964E-2</v>
      </c>
      <c r="K7" s="49">
        <v>2.3780567443209565E-2</v>
      </c>
      <c r="L7" s="45">
        <v>-7.6217757338482559E-2</v>
      </c>
      <c r="M7" s="45">
        <v>-1.9117647058823573E-2</v>
      </c>
      <c r="N7" s="30">
        <v>2.0999999999999999E-3</v>
      </c>
      <c r="P7" s="45"/>
      <c r="Q7" s="45">
        <f t="shared" si="0"/>
        <v>-4.5220801352707042E-2</v>
      </c>
      <c r="R7" s="45">
        <f t="shared" si="1"/>
        <v>1.978793197070567E-2</v>
      </c>
      <c r="S7" s="45">
        <f t="shared" si="2"/>
        <v>-0.1193457319231102</v>
      </c>
      <c r="T7" s="45">
        <f t="shared" si="3"/>
        <v>-2.2208589772910192E-2</v>
      </c>
    </row>
    <row r="8" spans="1:25">
      <c r="H8" s="9"/>
      <c r="J8" s="50">
        <v>-4.3120801352707044E-2</v>
      </c>
      <c r="K8" s="45">
        <v>2.1887931970705671E-2</v>
      </c>
      <c r="L8" s="45">
        <v>-0.11724573192311019</v>
      </c>
      <c r="M8" s="45">
        <v>-2.010858977291019E-2</v>
      </c>
      <c r="N8" s="30">
        <v>2.0999999999999999E-3</v>
      </c>
      <c r="P8" s="45"/>
      <c r="Q8" s="45">
        <f t="shared" si="0"/>
        <v>-1.6953709172771878E-2</v>
      </c>
      <c r="R8" s="45">
        <f t="shared" si="1"/>
        <v>-2.469344077703102E-2</v>
      </c>
      <c r="S8" s="45">
        <f t="shared" si="2"/>
        <v>0.15009473971191126</v>
      </c>
      <c r="T8" s="45">
        <f t="shared" si="3"/>
        <v>2.7552024895189667E-2</v>
      </c>
    </row>
    <row r="9" spans="1:25">
      <c r="H9" s="9"/>
      <c r="J9" s="48">
        <v>-1.4553709172771876E-2</v>
      </c>
      <c r="K9" s="45">
        <v>-2.2293440777031021E-2</v>
      </c>
      <c r="L9" s="45">
        <v>0.15249473971191127</v>
      </c>
      <c r="M9" s="45">
        <v>2.9952024895189666E-2</v>
      </c>
      <c r="N9" s="30">
        <v>2.3999999999999998E-3</v>
      </c>
      <c r="P9" s="45"/>
      <c r="Q9" s="45">
        <f t="shared" si="0"/>
        <v>2.0297872607168387E-2</v>
      </c>
      <c r="R9" s="45">
        <f t="shared" si="1"/>
        <v>-3.3596550251502821E-2</v>
      </c>
      <c r="S9" s="45">
        <f t="shared" si="2"/>
        <v>5.5017107068436488E-2</v>
      </c>
      <c r="T9" s="45">
        <f t="shared" si="3"/>
        <v>-2.4426772975241519E-3</v>
      </c>
    </row>
    <row r="10" spans="1:25">
      <c r="B10" s="3"/>
      <c r="H10" s="9"/>
      <c r="J10" s="50">
        <v>2.2597872607168386E-2</v>
      </c>
      <c r="K10" s="45">
        <v>-3.1296550251502825E-2</v>
      </c>
      <c r="L10" s="45">
        <v>5.7317107068436485E-2</v>
      </c>
      <c r="M10" s="45">
        <v>-1.4267729752415192E-4</v>
      </c>
      <c r="N10" s="30">
        <v>2.3E-3</v>
      </c>
      <c r="P10" s="45"/>
      <c r="Q10" s="45">
        <f t="shared" si="0"/>
        <v>1.987246828099536E-2</v>
      </c>
      <c r="R10" s="45">
        <f t="shared" si="1"/>
        <v>-1.8400014085036057E-2</v>
      </c>
      <c r="S10" s="45">
        <f t="shared" si="2"/>
        <v>0.15561613304537575</v>
      </c>
      <c r="T10" s="45">
        <f t="shared" si="3"/>
        <v>3.3568203604375138E-2</v>
      </c>
    </row>
    <row r="11" spans="1:25">
      <c r="H11" s="9"/>
      <c r="J11" s="50">
        <v>2.2272468280995359E-2</v>
      </c>
      <c r="K11" s="45">
        <v>-1.6000014085036058E-2</v>
      </c>
      <c r="L11" s="45">
        <v>0.15801613304537576</v>
      </c>
      <c r="M11" s="45">
        <v>3.5968203604375137E-2</v>
      </c>
      <c r="N11" s="30">
        <v>2.3999999999999998E-3</v>
      </c>
      <c r="Q11" s="45">
        <f t="shared" si="0"/>
        <v>1.6574494057513298E-2</v>
      </c>
      <c r="R11" s="45">
        <f t="shared" si="1"/>
        <v>-1.1911815243640232E-2</v>
      </c>
      <c r="S11" s="45">
        <f t="shared" si="2"/>
        <v>3.1362576527852272E-2</v>
      </c>
      <c r="T11" s="45">
        <f t="shared" si="3"/>
        <v>-1.422202596055688E-2</v>
      </c>
    </row>
    <row r="12" spans="1:25">
      <c r="J12" s="47">
        <v>1.9574494057513298E-2</v>
      </c>
      <c r="K12" s="43">
        <v>-8.911815243640233E-3</v>
      </c>
      <c r="L12" s="43">
        <v>3.4362576527852275E-2</v>
      </c>
      <c r="M12" s="43">
        <v>-1.1222025960556881E-2</v>
      </c>
      <c r="N12" s="30">
        <v>3.0000000000000001E-3</v>
      </c>
      <c r="Q12" s="45">
        <f t="shared" si="0"/>
        <v>5.7867934840132348E-2</v>
      </c>
      <c r="R12" s="45">
        <f t="shared" si="1"/>
        <v>-4.6352991230589214E-3</v>
      </c>
      <c r="S12" s="45">
        <f t="shared" si="2"/>
        <v>0.21038840671834846</v>
      </c>
      <c r="T12" s="45">
        <f t="shared" si="3"/>
        <v>4.0489400408087045E-3</v>
      </c>
    </row>
    <row r="13" spans="1:25">
      <c r="J13" s="47">
        <v>6.0767934840132348E-2</v>
      </c>
      <c r="K13" s="43">
        <v>-1.7352991230589214E-3</v>
      </c>
      <c r="L13" s="43">
        <v>0.21328840671834845</v>
      </c>
      <c r="M13" s="43">
        <v>6.9489400408087043E-3</v>
      </c>
      <c r="N13" s="30">
        <v>2.8999999999999998E-3</v>
      </c>
      <c r="Q13" s="45">
        <f t="shared" si="0"/>
        <v>-0.11916209347268925</v>
      </c>
      <c r="R13" s="45">
        <f t="shared" si="1"/>
        <v>-1.3129833440958274E-2</v>
      </c>
      <c r="S13" s="45">
        <f t="shared" si="2"/>
        <v>-8.1271483715860154E-2</v>
      </c>
      <c r="T13" s="45">
        <f t="shared" si="3"/>
        <v>-2.0440741042146514E-2</v>
      </c>
    </row>
    <row r="14" spans="1:25">
      <c r="J14" s="51">
        <v>-0.11646209347268925</v>
      </c>
      <c r="K14" s="43">
        <v>-1.0429833440958275E-2</v>
      </c>
      <c r="L14" s="43">
        <v>-7.857148371586016E-2</v>
      </c>
      <c r="M14" s="43">
        <v>-1.7740741042146513E-2</v>
      </c>
      <c r="N14" s="30">
        <v>2.7000000000000001E-3</v>
      </c>
      <c r="Q14" s="45">
        <f t="shared" si="0"/>
        <v>3.0565824905529504E-2</v>
      </c>
      <c r="R14" s="45">
        <f t="shared" si="1"/>
        <v>-1.6993307996237935E-2</v>
      </c>
      <c r="S14" s="45">
        <f t="shared" si="2"/>
        <v>0.12437636000656153</v>
      </c>
      <c r="T14" s="45">
        <f t="shared" si="3"/>
        <v>3.2086121076047351E-2</v>
      </c>
    </row>
    <row r="15" spans="1:25">
      <c r="J15" s="47">
        <v>3.3665824905529503E-2</v>
      </c>
      <c r="K15" s="43">
        <v>-1.3893307996237936E-2</v>
      </c>
      <c r="L15" s="43">
        <v>0.12747636000656154</v>
      </c>
      <c r="M15" s="43">
        <v>3.518612107604735E-2</v>
      </c>
      <c r="N15" s="30">
        <v>3.0999999999999999E-3</v>
      </c>
      <c r="Q15" s="45">
        <f t="shared" si="0"/>
        <v>-3.5252397888644232E-2</v>
      </c>
      <c r="R15" s="45">
        <f t="shared" si="1"/>
        <v>-2.992067248386893E-2</v>
      </c>
      <c r="S15" s="45">
        <f t="shared" si="2"/>
        <v>0.16563116977733999</v>
      </c>
      <c r="T15" s="45">
        <f t="shared" si="3"/>
        <v>-4.1523961968179725E-3</v>
      </c>
    </row>
    <row r="16" spans="1:25">
      <c r="J16" s="47">
        <v>-3.2052397888644231E-2</v>
      </c>
      <c r="K16" s="43">
        <v>-2.6720672483868928E-2</v>
      </c>
      <c r="L16" s="43">
        <v>0.16883116977734</v>
      </c>
      <c r="M16" s="43">
        <v>-9.5239619681797283E-4</v>
      </c>
      <c r="N16" s="30">
        <v>3.2000000000000002E-3</v>
      </c>
      <c r="Q16" s="45">
        <f t="shared" si="0"/>
        <v>0.1136444195398349</v>
      </c>
      <c r="R16" s="45">
        <f t="shared" si="1"/>
        <v>-4.6095634335932278E-2</v>
      </c>
      <c r="S16" s="45">
        <f t="shared" si="2"/>
        <v>0.36251302993359247</v>
      </c>
      <c r="T16" s="45">
        <f t="shared" si="3"/>
        <v>2.1966838635253009E-2</v>
      </c>
    </row>
    <row r="17" spans="1:20">
      <c r="A17" s="3"/>
      <c r="H17" s="3"/>
      <c r="J17" s="47">
        <v>0.1171444195398349</v>
      </c>
      <c r="K17" s="43">
        <v>-4.2595634335932275E-2</v>
      </c>
      <c r="L17" s="43">
        <v>0.36601302993359247</v>
      </c>
      <c r="M17" s="43">
        <v>2.5466838635253009E-2</v>
      </c>
      <c r="N17" s="30">
        <v>3.4999999999999996E-3</v>
      </c>
      <c r="Q17" s="45">
        <f t="shared" si="0"/>
        <v>-5.7264558854426044E-2</v>
      </c>
      <c r="R17" s="45">
        <f t="shared" si="1"/>
        <v>-1.4882758324413149E-3</v>
      </c>
      <c r="S17" s="45">
        <f t="shared" si="2"/>
        <v>-7.8280409694843373E-2</v>
      </c>
      <c r="T17" s="45">
        <f t="shared" si="3"/>
        <v>-2.946903318542457E-3</v>
      </c>
    </row>
    <row r="18" spans="1:20">
      <c r="B18" s="3"/>
      <c r="J18" s="47">
        <v>-5.3864558854426044E-2</v>
      </c>
      <c r="K18" s="43">
        <v>1.9117241675586853E-3</v>
      </c>
      <c r="L18" s="43">
        <v>-7.4880409694843372E-2</v>
      </c>
      <c r="M18" s="43">
        <v>4.5309668145754323E-4</v>
      </c>
      <c r="N18" s="30">
        <v>3.4000000000000002E-3</v>
      </c>
      <c r="Q18" s="45">
        <f t="shared" si="0"/>
        <v>2.1396878983883372E-2</v>
      </c>
      <c r="R18" s="45">
        <f t="shared" si="1"/>
        <v>2.3533298408837867E-2</v>
      </c>
      <c r="S18" s="45">
        <f t="shared" si="2"/>
        <v>-0.14618767991817785</v>
      </c>
      <c r="T18" s="45">
        <f t="shared" si="3"/>
        <v>7.3646073118547681E-3</v>
      </c>
    </row>
    <row r="19" spans="1:20">
      <c r="J19" s="47">
        <v>2.509687898388337E-2</v>
      </c>
      <c r="K19" s="43">
        <v>2.7233298408837869E-2</v>
      </c>
      <c r="L19" s="43">
        <v>-0.14248767991817785</v>
      </c>
      <c r="M19" s="43">
        <v>1.1064607311854768E-2</v>
      </c>
      <c r="N19" s="30">
        <v>3.7000000000000002E-3</v>
      </c>
      <c r="Q19" s="45">
        <f t="shared" si="0"/>
        <v>3.287718038841967E-2</v>
      </c>
      <c r="R19" s="45">
        <f t="shared" si="1"/>
        <v>-1.3900584224545882E-2</v>
      </c>
      <c r="S19" s="45">
        <f t="shared" si="2"/>
        <v>-2.8027062033120914E-2</v>
      </c>
      <c r="T19" s="45">
        <f t="shared" si="3"/>
        <v>8.5869280137161261E-3</v>
      </c>
    </row>
    <row r="20" spans="1:20">
      <c r="B20" s="3"/>
      <c r="C20" s="3"/>
      <c r="D20" s="3"/>
      <c r="E20" s="3"/>
      <c r="F20" s="3"/>
      <c r="G20" s="3"/>
      <c r="H20" s="3"/>
      <c r="J20" s="47">
        <v>3.6477180388419669E-2</v>
      </c>
      <c r="K20" s="43">
        <v>-1.0300584224545882E-2</v>
      </c>
      <c r="L20" s="43">
        <v>-2.4427062033120915E-2</v>
      </c>
      <c r="M20" s="43">
        <v>1.2186928013716125E-2</v>
      </c>
      <c r="N20" s="30">
        <v>3.5999999999999999E-3</v>
      </c>
      <c r="Q20" s="45">
        <f t="shared" si="0"/>
        <v>-3.8700791386379954E-2</v>
      </c>
      <c r="R20" s="45">
        <f t="shared" si="1"/>
        <v>2.3169725193403393E-2</v>
      </c>
      <c r="S20" s="45">
        <f t="shared" si="2"/>
        <v>-4.9431349407654722E-2</v>
      </c>
      <c r="T20" s="45">
        <f t="shared" si="3"/>
        <v>-3.5216901290238828E-2</v>
      </c>
    </row>
    <row r="21" spans="1:20">
      <c r="F21" s="3"/>
      <c r="J21" s="47">
        <v>-3.4400791386379956E-2</v>
      </c>
      <c r="K21" s="43">
        <v>2.7469725193403391E-2</v>
      </c>
      <c r="L21" s="43">
        <v>-4.5131349407654724E-2</v>
      </c>
      <c r="M21" s="43">
        <v>-3.091690129023883E-2</v>
      </c>
      <c r="N21" s="30">
        <v>4.3E-3</v>
      </c>
      <c r="Q21" s="45">
        <f t="shared" si="0"/>
        <v>3.2237502513748351E-3</v>
      </c>
      <c r="R21" s="45">
        <f t="shared" si="1"/>
        <v>-8.9817842191387068E-3</v>
      </c>
      <c r="S21" s="45">
        <f t="shared" si="2"/>
        <v>-0.21345287928761361</v>
      </c>
      <c r="T21" s="45">
        <f t="shared" si="3"/>
        <v>-3.9133919643488078E-3</v>
      </c>
    </row>
    <row r="22" spans="1:20">
      <c r="J22" s="47">
        <v>7.2237502513748351E-3</v>
      </c>
      <c r="K22" s="43">
        <v>-4.9817842191387067E-3</v>
      </c>
      <c r="L22" s="43">
        <v>-0.20945287928761361</v>
      </c>
      <c r="M22" s="43">
        <v>8.6608035651192239E-5</v>
      </c>
      <c r="N22" s="30">
        <v>4.0000000000000001E-3</v>
      </c>
      <c r="Q22" s="45">
        <f t="shared" si="0"/>
        <v>0.10015647185947189</v>
      </c>
      <c r="R22" s="45">
        <f t="shared" si="1"/>
        <v>3.9891874974693889E-2</v>
      </c>
      <c r="S22" s="45">
        <f t="shared" si="2"/>
        <v>-0.20997873345334062</v>
      </c>
      <c r="T22" s="45">
        <f t="shared" si="3"/>
        <v>1.085813257754701E-3</v>
      </c>
    </row>
    <row r="23" spans="1:20">
      <c r="J23" s="47">
        <v>0.1041564718594719</v>
      </c>
      <c r="K23" s="43">
        <v>4.3891874974693885E-2</v>
      </c>
      <c r="L23" s="43">
        <v>-0.20597873345334061</v>
      </c>
      <c r="M23" s="43">
        <v>5.0858132577547011E-3</v>
      </c>
      <c r="N23" s="30">
        <v>4.0000000000000001E-3</v>
      </c>
      <c r="Q23" s="45">
        <f t="shared" si="0"/>
        <v>-5.2333583854695959E-3</v>
      </c>
      <c r="R23" s="45">
        <f t="shared" si="1"/>
        <v>2.953308474476626E-2</v>
      </c>
      <c r="S23" s="45">
        <f t="shared" si="2"/>
        <v>0.28460869302447467</v>
      </c>
      <c r="T23" s="45">
        <f t="shared" si="3"/>
        <v>1.7074262528785838E-2</v>
      </c>
    </row>
    <row r="24" spans="1:20">
      <c r="J24" s="47">
        <v>-1.0333583854695958E-3</v>
      </c>
      <c r="K24" s="43">
        <v>3.3733084744766259E-2</v>
      </c>
      <c r="L24" s="43">
        <v>0.28880869302447465</v>
      </c>
      <c r="M24" s="43">
        <v>2.1274262528785837E-2</v>
      </c>
      <c r="N24" s="30">
        <v>4.1999999999999997E-3</v>
      </c>
      <c r="Q24" s="45">
        <f t="shared" si="0"/>
        <v>-1.2523226100895617E-2</v>
      </c>
      <c r="R24" s="45">
        <f t="shared" si="1"/>
        <v>2.3032421031169391E-4</v>
      </c>
      <c r="S24" s="45">
        <f t="shared" si="2"/>
        <v>-9.7022165238368589E-3</v>
      </c>
      <c r="T24" s="45">
        <f t="shared" si="3"/>
        <v>2.046627448574178E-2</v>
      </c>
    </row>
    <row r="25" spans="1:20">
      <c r="J25" s="47">
        <v>-8.4232261008956172E-3</v>
      </c>
      <c r="K25" s="43">
        <v>4.3303242103116934E-3</v>
      </c>
      <c r="L25" s="43">
        <v>-5.6022165238368586E-3</v>
      </c>
      <c r="M25" s="43">
        <v>2.4566274485741779E-2</v>
      </c>
      <c r="N25" s="30">
        <v>4.0999999999999995E-3</v>
      </c>
      <c r="Q25" s="45">
        <f t="shared" si="0"/>
        <v>6.028151703521039E-2</v>
      </c>
      <c r="R25" s="45">
        <f t="shared" si="1"/>
        <v>3.3781105512619161E-2</v>
      </c>
      <c r="S25" s="45">
        <f t="shared" si="2"/>
        <v>-0.14816438103621143</v>
      </c>
      <c r="T25" s="45">
        <f t="shared" si="3"/>
        <v>2.7408028596025195E-2</v>
      </c>
    </row>
    <row r="26" spans="1:20">
      <c r="J26" s="47">
        <v>6.4381517035210389E-2</v>
      </c>
      <c r="K26" s="43">
        <v>3.7881105512619161E-2</v>
      </c>
      <c r="L26" s="43">
        <v>-0.14406438103621144</v>
      </c>
      <c r="M26" s="43">
        <v>3.1508028596025195E-2</v>
      </c>
      <c r="N26" s="30">
        <v>4.0999999999999995E-3</v>
      </c>
      <c r="Q26" s="45">
        <f t="shared" si="0"/>
        <v>7.1269049675670604E-2</v>
      </c>
      <c r="R26" s="45">
        <f t="shared" si="1"/>
        <v>-2.6306792730522884E-2</v>
      </c>
      <c r="S26" s="45">
        <f t="shared" si="2"/>
        <v>9.9043361826090352E-3</v>
      </c>
      <c r="T26" s="45">
        <f t="shared" si="3"/>
        <v>1.2266609576614389E-2</v>
      </c>
    </row>
    <row r="27" spans="1:20">
      <c r="J27" s="47">
        <v>7.5469049675670599E-2</v>
      </c>
      <c r="K27" s="43">
        <v>-2.2106792730522885E-2</v>
      </c>
      <c r="L27" s="43">
        <v>1.4104336182609034E-2</v>
      </c>
      <c r="M27" s="43">
        <v>1.6466609576614388E-2</v>
      </c>
      <c r="N27" s="30">
        <v>4.1999999999999997E-3</v>
      </c>
      <c r="Q27" s="45">
        <f t="shared" si="0"/>
        <v>-6.3434489115621936E-3</v>
      </c>
      <c r="R27" s="45">
        <f t="shared" si="1"/>
        <v>-2.3311640897349171E-3</v>
      </c>
      <c r="S27" s="45">
        <f t="shared" si="2"/>
        <v>-6.0560006055411966E-2</v>
      </c>
      <c r="T27" s="45">
        <f t="shared" si="3"/>
        <v>8.6157514832609951E-3</v>
      </c>
    </row>
    <row r="28" spans="1:20">
      <c r="B28" s="3"/>
      <c r="D28" s="3"/>
      <c r="E28" s="3"/>
      <c r="F28" s="3"/>
      <c r="J28" s="47">
        <v>-2.3434489115621935E-3</v>
      </c>
      <c r="K28" s="43">
        <v>1.668835910265083E-3</v>
      </c>
      <c r="L28" s="43">
        <v>-5.656000605541197E-2</v>
      </c>
      <c r="M28" s="43">
        <v>1.2615751483260995E-2</v>
      </c>
      <c r="N28" s="30">
        <v>4.0000000000000001E-3</v>
      </c>
      <c r="Q28" s="45">
        <f t="shared" si="0"/>
        <v>-3.7415775414033806E-2</v>
      </c>
      <c r="R28" s="45">
        <f t="shared" si="1"/>
        <v>7.4146993085817516E-3</v>
      </c>
      <c r="S28" s="45">
        <f t="shared" si="2"/>
        <v>-0.24027224082342721</v>
      </c>
      <c r="T28" s="45">
        <f t="shared" si="3"/>
        <v>9.659084819854738E-3</v>
      </c>
    </row>
    <row r="29" spans="1:20">
      <c r="D29" s="3"/>
      <c r="E29" s="3"/>
      <c r="F29" s="3"/>
      <c r="J29" s="47">
        <v>-3.3015775414033804E-2</v>
      </c>
      <c r="K29" s="43">
        <v>1.1814699308581752E-2</v>
      </c>
      <c r="L29" s="43">
        <v>-0.23587224082342723</v>
      </c>
      <c r="M29" s="43">
        <v>1.4059084819854739E-2</v>
      </c>
      <c r="N29" s="30">
        <v>4.4000000000000003E-3</v>
      </c>
      <c r="Q29" s="45">
        <f t="shared" si="0"/>
        <v>-3.6458545462595117E-2</v>
      </c>
      <c r="R29" s="45">
        <f t="shared" si="1"/>
        <v>-6.1734170206302015E-2</v>
      </c>
      <c r="S29" s="45">
        <f t="shared" si="2"/>
        <v>-3.4668198715305652E-2</v>
      </c>
      <c r="T29" s="45">
        <f t="shared" si="3"/>
        <v>-2.5646145288686226E-2</v>
      </c>
    </row>
    <row r="30" spans="1:20">
      <c r="B30" s="3"/>
      <c r="C30" s="3"/>
      <c r="J30" s="47">
        <v>-3.2658545462595119E-2</v>
      </c>
      <c r="K30" s="43">
        <v>-5.7934170206302017E-2</v>
      </c>
      <c r="L30" s="43">
        <v>-3.0868198715305651E-2</v>
      </c>
      <c r="M30" s="43">
        <v>-2.1846145288686225E-2</v>
      </c>
      <c r="N30" s="30">
        <v>3.8E-3</v>
      </c>
      <c r="Q30" s="45">
        <f t="shared" si="0"/>
        <v>4.8294819015286573E-2</v>
      </c>
      <c r="R30" s="45">
        <f t="shared" si="1"/>
        <v>-4.6728126024067083E-2</v>
      </c>
      <c r="S30" s="45">
        <f t="shared" si="2"/>
        <v>-0.13767752593968879</v>
      </c>
      <c r="T30" s="45">
        <f t="shared" si="3"/>
        <v>5.6799547916576969E-3</v>
      </c>
    </row>
    <row r="31" spans="1:20">
      <c r="B31" s="3"/>
      <c r="C31" s="3"/>
      <c r="J31" s="47">
        <v>5.2594819015286572E-2</v>
      </c>
      <c r="K31" s="43">
        <v>-4.2428126024067085E-2</v>
      </c>
      <c r="L31" s="43">
        <v>-0.1333775259396888</v>
      </c>
      <c r="M31" s="43">
        <v>9.9799547916576969E-3</v>
      </c>
      <c r="N31" s="30">
        <v>4.3E-3</v>
      </c>
      <c r="Q31" s="45">
        <f t="shared" si="0"/>
        <v>4.7687481300651549E-2</v>
      </c>
      <c r="R31" s="45">
        <f t="shared" si="1"/>
        <v>6.1315283927494926E-2</v>
      </c>
      <c r="S31" s="45">
        <f t="shared" si="2"/>
        <v>5.3792898222726468E-2</v>
      </c>
      <c r="T31" s="45">
        <f t="shared" si="3"/>
        <v>3.8890683107413795E-2</v>
      </c>
    </row>
    <row r="32" spans="1:20">
      <c r="B32" s="3"/>
      <c r="J32" s="47">
        <v>5.208748130065155E-2</v>
      </c>
      <c r="K32" s="43">
        <v>6.5715283927494927E-2</v>
      </c>
      <c r="L32" s="43">
        <v>5.8192898222726469E-2</v>
      </c>
      <c r="M32" s="43">
        <v>4.3290683107413797E-2</v>
      </c>
      <c r="N32" s="30">
        <v>4.4000000000000003E-3</v>
      </c>
      <c r="Q32" s="45">
        <f t="shared" si="0"/>
        <v>4.3645037120975116E-2</v>
      </c>
      <c r="R32" s="45">
        <f t="shared" si="1"/>
        <v>-1.8892911007189355E-2</v>
      </c>
      <c r="S32" s="45">
        <f t="shared" si="2"/>
        <v>2.846156098961309E-2</v>
      </c>
      <c r="T32" s="45">
        <f t="shared" si="3"/>
        <v>2.8449228600146974E-2</v>
      </c>
    </row>
    <row r="33" spans="2:20">
      <c r="J33" s="47">
        <v>4.7745037120975116E-2</v>
      </c>
      <c r="K33" s="43">
        <v>-1.4792911007189356E-2</v>
      </c>
      <c r="L33" s="43">
        <v>3.2561560989613089E-2</v>
      </c>
      <c r="M33" s="43">
        <v>3.2549228600146973E-2</v>
      </c>
      <c r="N33" s="30">
        <v>4.0999999999999995E-3</v>
      </c>
      <c r="Q33" s="45">
        <f t="shared" si="0"/>
        <v>4.5367211747488218E-3</v>
      </c>
      <c r="R33" s="45">
        <f t="shared" si="1"/>
        <v>-3.007873421749659E-2</v>
      </c>
      <c r="S33" s="45">
        <f t="shared" si="2"/>
        <v>-1.897706236241227E-3</v>
      </c>
      <c r="T33" s="45">
        <f t="shared" si="3"/>
        <v>-2.1816309730697366E-2</v>
      </c>
    </row>
    <row r="34" spans="2:20">
      <c r="C34" s="3"/>
      <c r="J34" s="47">
        <v>8.5367211747488219E-3</v>
      </c>
      <c r="K34" s="43">
        <v>-2.6078734217496589E-2</v>
      </c>
      <c r="L34" s="43">
        <v>2.1022937637587731E-3</v>
      </c>
      <c r="M34" s="43">
        <v>-1.7816309730697366E-2</v>
      </c>
      <c r="N34" s="30">
        <v>4.0000000000000001E-3</v>
      </c>
      <c r="Q34" s="45">
        <f t="shared" si="0"/>
        <v>1.0902241785052807E-2</v>
      </c>
      <c r="R34" s="45">
        <f t="shared" si="1"/>
        <v>-2.2175899891248317E-2</v>
      </c>
      <c r="S34" s="45">
        <f t="shared" si="2"/>
        <v>-5.7146868443697568E-2</v>
      </c>
      <c r="T34" s="45">
        <f t="shared" si="3"/>
        <v>-3.5981907074200903E-2</v>
      </c>
    </row>
    <row r="35" spans="2:20">
      <c r="J35" s="47">
        <v>1.4902241785052808E-2</v>
      </c>
      <c r="K35" s="43">
        <v>-1.8175899891248317E-2</v>
      </c>
      <c r="L35" s="43">
        <v>-5.3146868443697572E-2</v>
      </c>
      <c r="M35" s="43">
        <v>-3.1981907074200899E-2</v>
      </c>
      <c r="N35" s="30">
        <v>4.0000000000000001E-3</v>
      </c>
      <c r="Q35" s="45">
        <f t="shared" si="0"/>
        <v>2.8481160915523789E-3</v>
      </c>
      <c r="R35" s="45">
        <f t="shared" si="1"/>
        <v>1.7122329182270146E-2</v>
      </c>
      <c r="S35" s="45">
        <f t="shared" si="2"/>
        <v>-4.4081828905051579E-2</v>
      </c>
      <c r="T35" s="45">
        <f t="shared" si="3"/>
        <v>8.6635923230739924E-3</v>
      </c>
    </row>
    <row r="36" spans="2:20">
      <c r="B36" s="3"/>
      <c r="J36" s="47">
        <v>7.0481160915523786E-3</v>
      </c>
      <c r="K36" s="43">
        <v>2.1322329182270144E-2</v>
      </c>
      <c r="L36" s="43">
        <v>-3.9881828905051576E-2</v>
      </c>
      <c r="M36" s="43">
        <v>1.2863592323073991E-2</v>
      </c>
      <c r="N36" s="30">
        <v>4.1999999999999997E-3</v>
      </c>
      <c r="Q36" s="45">
        <f t="shared" si="0"/>
        <v>7.6468656645488936E-2</v>
      </c>
      <c r="R36" s="45">
        <f t="shared" si="1"/>
        <v>6.0078782566457163E-2</v>
      </c>
      <c r="S36" s="45">
        <f t="shared" si="2"/>
        <v>1.2184600712702824E-2</v>
      </c>
      <c r="T36" s="45">
        <f t="shared" si="3"/>
        <v>3.2594001316155509E-2</v>
      </c>
    </row>
    <row r="37" spans="2:20">
      <c r="D37" s="3"/>
      <c r="E37" s="3"/>
      <c r="F37" s="3"/>
      <c r="J37" s="47">
        <v>7.9668656645488931E-2</v>
      </c>
      <c r="K37" s="43">
        <v>6.3278782566457165E-2</v>
      </c>
      <c r="L37" s="43">
        <v>1.5384600712702824E-2</v>
      </c>
      <c r="M37" s="43">
        <v>3.579400131615551E-2</v>
      </c>
      <c r="N37" s="30">
        <v>3.2000000000000002E-3</v>
      </c>
      <c r="Q37" s="45">
        <f t="shared" si="0"/>
        <v>-9.3581645403932601E-3</v>
      </c>
      <c r="R37" s="45">
        <f t="shared" si="1"/>
        <v>-1.1266952875422549E-2</v>
      </c>
      <c r="S37" s="45">
        <f t="shared" si="2"/>
        <v>-1.2290900552502553E-2</v>
      </c>
      <c r="T37" s="45">
        <f t="shared" si="3"/>
        <v>1.1622335025380884E-2</v>
      </c>
    </row>
    <row r="38" spans="2:20">
      <c r="C38" s="3"/>
      <c r="J38" s="47">
        <v>-6.1581645403932603E-3</v>
      </c>
      <c r="K38" s="43">
        <v>-8.0669528754225492E-3</v>
      </c>
      <c r="L38" s="43">
        <v>-9.0909005525025531E-3</v>
      </c>
      <c r="M38" s="43">
        <v>1.4822335025380884E-2</v>
      </c>
      <c r="N38" s="30">
        <v>3.2000000000000002E-3</v>
      </c>
      <c r="Q38" s="45">
        <f t="shared" si="0"/>
        <v>-3.4164151183601194E-2</v>
      </c>
      <c r="R38" s="45">
        <f t="shared" si="1"/>
        <v>3.6035319426614164E-2</v>
      </c>
      <c r="S38" s="45">
        <f t="shared" si="2"/>
        <v>-0.2572226081184516</v>
      </c>
      <c r="T38" s="45">
        <f t="shared" si="3"/>
        <v>-4.7443423821141348E-2</v>
      </c>
    </row>
    <row r="39" spans="2:20">
      <c r="C39" s="3"/>
      <c r="J39" s="47">
        <v>-3.076415118360119E-2</v>
      </c>
      <c r="K39" s="43">
        <v>3.9435319426614164E-2</v>
      </c>
      <c r="L39" s="43">
        <v>-0.25382260811845159</v>
      </c>
      <c r="M39" s="43">
        <v>-4.4043423821141348E-2</v>
      </c>
      <c r="N39" s="30">
        <v>3.4000000000000002E-3</v>
      </c>
      <c r="Q39" s="45">
        <f t="shared" si="0"/>
        <v>4.8107521234120404E-2</v>
      </c>
      <c r="R39" s="45">
        <f t="shared" si="1"/>
        <v>-1.8052833603846099E-2</v>
      </c>
      <c r="S39" s="45">
        <f t="shared" si="2"/>
        <v>-0.23425739506993384</v>
      </c>
      <c r="T39" s="45">
        <f t="shared" si="3"/>
        <v>-1.1328488866683882E-2</v>
      </c>
    </row>
    <row r="40" spans="2:20">
      <c r="J40" s="47">
        <v>5.0807521234120405E-2</v>
      </c>
      <c r="K40" s="43">
        <v>-1.5352833603846098E-2</v>
      </c>
      <c r="L40" s="43">
        <v>-0.23155739506993384</v>
      </c>
      <c r="M40" s="43">
        <v>-8.628488866683881E-3</v>
      </c>
      <c r="N40" s="30">
        <v>2.7000000000000001E-3</v>
      </c>
      <c r="Q40" s="45">
        <f t="shared" si="0"/>
        <v>-7.9909806015177692E-2</v>
      </c>
      <c r="R40" s="45">
        <f t="shared" si="1"/>
        <v>-5.5473279182549802E-2</v>
      </c>
      <c r="S40" s="45">
        <f t="shared" si="2"/>
        <v>9.9000203450520831E-3</v>
      </c>
      <c r="T40" s="45">
        <f t="shared" si="3"/>
        <v>-6.3263474897164121E-2</v>
      </c>
    </row>
    <row r="41" spans="2:20">
      <c r="J41" s="47">
        <v>-7.7809806015177688E-2</v>
      </c>
      <c r="K41" s="43">
        <v>-5.3373279182549804E-2</v>
      </c>
      <c r="L41" s="43">
        <v>1.2000020345052083E-2</v>
      </c>
      <c r="M41" s="43">
        <v>-6.1163474897164116E-2</v>
      </c>
      <c r="N41" s="30">
        <v>2.0999999999999999E-3</v>
      </c>
      <c r="Q41" s="45">
        <f t="shared" si="0"/>
        <v>5.7601921247519014E-3</v>
      </c>
      <c r="R41" s="45">
        <f t="shared" si="1"/>
        <v>-1.9988633458701582E-2</v>
      </c>
      <c r="S41" s="45">
        <f t="shared" si="2"/>
        <v>-5.1365890224172518E-2</v>
      </c>
      <c r="T41" s="45">
        <f t="shared" si="3"/>
        <v>-3.6061162090602318E-2</v>
      </c>
    </row>
    <row r="42" spans="2:20">
      <c r="J42" s="47">
        <v>7.0601921247519014E-3</v>
      </c>
      <c r="K42" s="43">
        <v>-1.8688633458701583E-2</v>
      </c>
      <c r="L42" s="43">
        <v>-5.0065890224172516E-2</v>
      </c>
      <c r="M42" s="43">
        <v>-3.4761162090602316E-2</v>
      </c>
      <c r="N42" s="30">
        <v>1.2999999999999999E-3</v>
      </c>
      <c r="Q42" s="45">
        <f t="shared" si="0"/>
        <v>-2.9627827209694355E-2</v>
      </c>
      <c r="R42" s="45">
        <f t="shared" si="1"/>
        <v>4.5265844175401707E-2</v>
      </c>
      <c r="S42" s="45">
        <f t="shared" si="2"/>
        <v>-0.18477907970561225</v>
      </c>
      <c r="T42" s="45">
        <f t="shared" si="3"/>
        <v>-7.6595830546432805E-3</v>
      </c>
    </row>
    <row r="43" spans="2:20">
      <c r="J43" s="47">
        <v>-2.7927827209694354E-2</v>
      </c>
      <c r="K43" s="43">
        <v>4.6965844175401707E-2</v>
      </c>
      <c r="L43" s="43">
        <v>-0.18307907970561224</v>
      </c>
      <c r="M43" s="43">
        <v>-5.9595830546432804E-3</v>
      </c>
      <c r="N43" s="30">
        <v>1.7000000000000001E-3</v>
      </c>
      <c r="Q43" s="45">
        <f t="shared" si="0"/>
        <v>9.8578312603113644E-2</v>
      </c>
      <c r="R43" s="45">
        <f t="shared" si="1"/>
        <v>3.2422190493518424E-2</v>
      </c>
      <c r="S43" s="45">
        <f t="shared" si="2"/>
        <v>1.008457949883523E-2</v>
      </c>
      <c r="T43" s="45">
        <f t="shared" si="3"/>
        <v>4.5746684811370585E-2</v>
      </c>
    </row>
    <row r="44" spans="2:20">
      <c r="J44" s="47">
        <v>0.10037831260311364</v>
      </c>
      <c r="K44" s="43">
        <v>3.4222190493518427E-2</v>
      </c>
      <c r="L44" s="43">
        <v>1.1884579498835229E-2</v>
      </c>
      <c r="M44" s="43">
        <v>4.7546684811370588E-2</v>
      </c>
      <c r="N44" s="30">
        <v>1.8E-3</v>
      </c>
      <c r="Q44" s="45">
        <f t="shared" si="0"/>
        <v>-4.8109203532031776E-2</v>
      </c>
      <c r="R44" s="45">
        <f t="shared" si="1"/>
        <v>-7.0168503983569913E-3</v>
      </c>
      <c r="S44" s="45">
        <f t="shared" si="2"/>
        <v>0.15256242792038355</v>
      </c>
      <c r="T44" s="45">
        <f t="shared" si="3"/>
        <v>8.8741532487966145E-3</v>
      </c>
    </row>
    <row r="45" spans="2:20">
      <c r="J45" s="47">
        <v>-4.6309203532031773E-2</v>
      </c>
      <c r="K45" s="43">
        <v>-5.2168503983569909E-3</v>
      </c>
      <c r="L45" s="43">
        <v>0.15436242792038354</v>
      </c>
      <c r="M45" s="43">
        <v>1.0674153248796614E-2</v>
      </c>
      <c r="N45" s="30">
        <v>1.8E-3</v>
      </c>
      <c r="Q45" s="45">
        <f t="shared" si="0"/>
        <v>-8.7978466386870631E-3</v>
      </c>
      <c r="R45" s="45">
        <f t="shared" si="1"/>
        <v>-3.7660467526202467E-2</v>
      </c>
      <c r="S45" s="45">
        <f t="shared" si="2"/>
        <v>-0.15431630425426066</v>
      </c>
      <c r="T45" s="45">
        <f t="shared" si="3"/>
        <v>-8.7662381639269399E-2</v>
      </c>
    </row>
    <row r="46" spans="2:20">
      <c r="J46" s="47">
        <v>-7.097846638687063E-3</v>
      </c>
      <c r="K46" s="43">
        <v>-3.5960467526202466E-2</v>
      </c>
      <c r="L46" s="43">
        <v>-0.15261630425426065</v>
      </c>
      <c r="M46" s="43">
        <v>-8.5962381639269392E-2</v>
      </c>
      <c r="N46" s="30">
        <v>1.7000000000000001E-3</v>
      </c>
      <c r="Q46" s="45">
        <f t="shared" si="0"/>
        <v>-8.8870897403988708E-2</v>
      </c>
      <c r="R46" s="45">
        <f t="shared" si="1"/>
        <v>6.269031889780026E-2</v>
      </c>
      <c r="S46" s="45">
        <f t="shared" si="2"/>
        <v>-0.27937305433260956</v>
      </c>
      <c r="T46" s="45">
        <f t="shared" si="3"/>
        <v>-1.1359374999999892E-2</v>
      </c>
    </row>
    <row r="47" spans="2:20">
      <c r="J47" s="47">
        <v>-8.7370897403988707E-2</v>
      </c>
      <c r="K47" s="43">
        <v>6.4190318897800261E-2</v>
      </c>
      <c r="L47" s="43">
        <v>-0.27787305433260956</v>
      </c>
      <c r="M47" s="43">
        <v>-9.8593749999998925E-3</v>
      </c>
      <c r="N47" s="30">
        <v>1.5E-3</v>
      </c>
      <c r="Q47" s="45">
        <f t="shared" si="0"/>
        <v>-6.5219093292516756E-3</v>
      </c>
      <c r="R47" s="45">
        <f t="shared" si="1"/>
        <v>2.7325661596746337E-2</v>
      </c>
      <c r="S47" s="45">
        <f t="shared" si="2"/>
        <v>0.49276173512092519</v>
      </c>
      <c r="T47" s="45">
        <f t="shared" si="3"/>
        <v>1.0890503242910379E-2</v>
      </c>
    </row>
    <row r="48" spans="2:20">
      <c r="J48" s="47">
        <v>-5.2219093292516757E-3</v>
      </c>
      <c r="K48" s="43">
        <v>2.8625661596746337E-2</v>
      </c>
      <c r="L48" s="43">
        <v>0.49406173512092522</v>
      </c>
      <c r="M48" s="43">
        <v>1.2190503242910378E-2</v>
      </c>
      <c r="N48" s="30">
        <v>1.2999999999999999E-3</v>
      </c>
      <c r="Q48" s="45">
        <f t="shared" si="0"/>
        <v>-3.0871308728624036E-2</v>
      </c>
      <c r="R48" s="45">
        <f t="shared" si="1"/>
        <v>-1.7828290797897307E-2</v>
      </c>
      <c r="S48" s="45">
        <f t="shared" si="2"/>
        <v>-0.16684180733868312</v>
      </c>
      <c r="T48" s="45">
        <f t="shared" si="3"/>
        <v>-9.2291453271283019E-2</v>
      </c>
    </row>
    <row r="49" spans="10:20">
      <c r="J49" s="47">
        <v>-2.9371308728624035E-2</v>
      </c>
      <c r="K49" s="43">
        <v>-1.6328290797897306E-2</v>
      </c>
      <c r="L49" s="43">
        <v>-0.16534180733868312</v>
      </c>
      <c r="M49" s="43">
        <v>-9.0791453271283018E-2</v>
      </c>
      <c r="N49" s="30">
        <v>1.5E-3</v>
      </c>
      <c r="Q49" s="45">
        <f t="shared" si="0"/>
        <v>-4.6383321511669261E-2</v>
      </c>
      <c r="R49" s="45">
        <f t="shared" si="1"/>
        <v>-0.11540737249726561</v>
      </c>
      <c r="S49" s="45">
        <f t="shared" si="2"/>
        <v>-0.33413333333333334</v>
      </c>
      <c r="T49" s="45">
        <f t="shared" si="3"/>
        <v>-0.17022453444905514</v>
      </c>
    </row>
    <row r="50" spans="10:20">
      <c r="J50" s="47">
        <v>-4.5583321511669259E-2</v>
      </c>
      <c r="K50" s="43">
        <v>-0.11460737249726562</v>
      </c>
      <c r="L50" s="43">
        <v>-0.33333333333333331</v>
      </c>
      <c r="M50" s="43">
        <v>-0.16942453444905514</v>
      </c>
      <c r="N50" s="30">
        <v>8.0000000000000004E-4</v>
      </c>
      <c r="Q50" s="45">
        <f t="shared" si="0"/>
        <v>8.1054540688747373E-2</v>
      </c>
      <c r="R50" s="45">
        <f t="shared" si="1"/>
        <v>-4.5295081751997042E-2</v>
      </c>
      <c r="S50" s="45">
        <f t="shared" si="2"/>
        <v>-0.32601431568690709</v>
      </c>
      <c r="T50" s="45">
        <f t="shared" si="3"/>
        <v>-7.5149032258064491E-2</v>
      </c>
    </row>
    <row r="51" spans="10:20">
      <c r="J51" s="47">
        <v>8.1354540688747368E-2</v>
      </c>
      <c r="K51" s="43">
        <v>-4.499508175199704E-2</v>
      </c>
      <c r="L51" s="43">
        <v>-0.32571431568690706</v>
      </c>
      <c r="M51" s="43">
        <v>-7.4849032258064496E-2</v>
      </c>
      <c r="N51" s="30">
        <v>2.9999999999999997E-4</v>
      </c>
      <c r="Q51" s="45">
        <f t="shared" si="0"/>
        <v>-3.9925101526154926E-3</v>
      </c>
      <c r="R51" s="45">
        <f t="shared" si="1"/>
        <v>2.1338340063645142E-2</v>
      </c>
      <c r="S51" s="45">
        <f t="shared" si="2"/>
        <v>-8.47456856590309E-2</v>
      </c>
      <c r="T51" s="45">
        <f t="shared" si="3"/>
        <v>7.8215656520574939E-3</v>
      </c>
    </row>
    <row r="52" spans="10:20">
      <c r="J52" s="47">
        <v>-3.9925101526154926E-3</v>
      </c>
      <c r="K52" s="43">
        <v>2.1338340063645142E-2</v>
      </c>
      <c r="L52" s="43">
        <v>-8.47456856590309E-2</v>
      </c>
      <c r="M52" s="43">
        <v>7.8215656520574939E-3</v>
      </c>
      <c r="N52" s="30">
        <v>0</v>
      </c>
      <c r="Q52" s="45">
        <f t="shared" si="0"/>
        <v>-4.19641537928402E-2</v>
      </c>
      <c r="R52" s="45">
        <f t="shared" si="1"/>
        <v>-3.5768061822704762E-2</v>
      </c>
      <c r="S52" s="45">
        <f t="shared" si="2"/>
        <v>1.3888875091517962E-2</v>
      </c>
      <c r="T52" s="45">
        <f t="shared" si="3"/>
        <v>-8.565734846388029E-2</v>
      </c>
    </row>
    <row r="53" spans="10:20">
      <c r="J53" s="47">
        <v>-4.19641537928402E-2</v>
      </c>
      <c r="K53" s="43">
        <v>-3.5768061822704762E-2</v>
      </c>
      <c r="L53" s="43">
        <v>1.3888875091517962E-2</v>
      </c>
      <c r="M53" s="43">
        <v>-8.565734846388029E-2</v>
      </c>
      <c r="N53" s="30">
        <v>0</v>
      </c>
      <c r="Q53" s="45">
        <f t="shared" si="0"/>
        <v>-0.11228621148604898</v>
      </c>
      <c r="R53" s="45">
        <f t="shared" si="1"/>
        <v>-0.13339864464841072</v>
      </c>
      <c r="S53" s="45">
        <f t="shared" si="2"/>
        <v>-4.6662055716787483E-3</v>
      </c>
      <c r="T53" s="45">
        <f t="shared" si="3"/>
        <v>-0.11003122487528451</v>
      </c>
    </row>
    <row r="54" spans="10:20">
      <c r="J54" s="47">
        <v>-0.11218621148604897</v>
      </c>
      <c r="K54" s="43">
        <v>-0.13329864464841074</v>
      </c>
      <c r="L54" s="43">
        <v>-4.566205571678748E-3</v>
      </c>
      <c r="M54" s="43">
        <v>-0.10993122487528451</v>
      </c>
      <c r="N54" s="30">
        <v>1E-4</v>
      </c>
      <c r="Q54" s="45">
        <f t="shared" si="0"/>
        <v>2.7454630890687407E-3</v>
      </c>
      <c r="R54" s="45">
        <f t="shared" si="1"/>
        <v>5.1799969482421875E-2</v>
      </c>
      <c r="S54" s="45">
        <f t="shared" si="2"/>
        <v>0.39888250409057369</v>
      </c>
      <c r="T54" s="45">
        <f t="shared" si="3"/>
        <v>8.5204508291501585E-2</v>
      </c>
    </row>
    <row r="55" spans="10:20">
      <c r="J55" s="47">
        <v>2.9454630890687408E-3</v>
      </c>
      <c r="K55" s="43">
        <v>5.1999969482421873E-2</v>
      </c>
      <c r="L55" s="43">
        <v>0.39908250409057366</v>
      </c>
      <c r="M55" s="43">
        <v>8.5404508291501591E-2</v>
      </c>
      <c r="N55" s="30">
        <v>2.0000000000000001E-4</v>
      </c>
      <c r="Q55" s="45">
        <f t="shared" si="0"/>
        <v>-2.1098536523010355E-2</v>
      </c>
      <c r="R55" s="45">
        <f t="shared" si="1"/>
        <v>-4.6626971621987574E-3</v>
      </c>
      <c r="S55" s="45">
        <f t="shared" si="2"/>
        <v>0.18350654148674858</v>
      </c>
      <c r="T55" s="45">
        <f t="shared" si="3"/>
        <v>9.3825075513554776E-2</v>
      </c>
    </row>
    <row r="56" spans="10:20">
      <c r="J56" s="47">
        <v>-2.0998536523010355E-2</v>
      </c>
      <c r="K56" s="43">
        <v>-4.5626971621987571E-3</v>
      </c>
      <c r="L56" s="43">
        <v>0.18360654148674857</v>
      </c>
      <c r="M56" s="43">
        <v>9.3925075513554779E-2</v>
      </c>
      <c r="N56" s="30">
        <v>1E-4</v>
      </c>
      <c r="Q56" s="45">
        <f t="shared" si="0"/>
        <v>4.0197995781918551E-2</v>
      </c>
      <c r="R56" s="45">
        <f t="shared" si="1"/>
        <v>5.3475920634481193E-2</v>
      </c>
      <c r="S56" s="45">
        <f t="shared" si="2"/>
        <v>0.25761775451035462</v>
      </c>
      <c r="T56" s="45">
        <f t="shared" si="3"/>
        <v>5.3081426656431674E-2</v>
      </c>
    </row>
    <row r="57" spans="10:20">
      <c r="J57" s="47">
        <v>4.0197995781918551E-2</v>
      </c>
      <c r="K57" s="43">
        <v>5.3475920634481193E-2</v>
      </c>
      <c r="L57" s="43">
        <v>0.25761775451035462</v>
      </c>
      <c r="M57" s="43">
        <v>5.3081426656431674E-2</v>
      </c>
      <c r="N57" s="30">
        <v>0</v>
      </c>
      <c r="Q57" s="45">
        <f t="shared" si="0"/>
        <v>7.9750569619299258E-3</v>
      </c>
      <c r="R57" s="45">
        <f t="shared" si="1"/>
        <v>2.9631678647301155E-2</v>
      </c>
      <c r="S57" s="45">
        <f t="shared" si="2"/>
        <v>-0.14767711055585139</v>
      </c>
      <c r="T57" s="45">
        <f t="shared" si="3"/>
        <v>9.5835237287056425E-5</v>
      </c>
    </row>
    <row r="58" spans="10:20">
      <c r="J58" s="47">
        <v>8.0750569619299252E-3</v>
      </c>
      <c r="K58" s="43">
        <v>2.9731678647301155E-2</v>
      </c>
      <c r="L58" s="43">
        <v>-0.1475771105558514</v>
      </c>
      <c r="M58" s="43">
        <v>1.9583523728705643E-4</v>
      </c>
      <c r="N58" s="30">
        <v>1E-4</v>
      </c>
      <c r="Q58" s="45">
        <f t="shared" si="0"/>
        <v>6.7659090601538052E-3</v>
      </c>
      <c r="R58" s="45">
        <f t="shared" si="1"/>
        <v>7.1907045907128639E-2</v>
      </c>
      <c r="S58" s="45">
        <f t="shared" si="2"/>
        <v>-5.4363515746346285E-2</v>
      </c>
      <c r="T58" s="45">
        <f t="shared" si="3"/>
        <v>7.4041756950789614E-2</v>
      </c>
    </row>
    <row r="59" spans="10:20">
      <c r="J59" s="47">
        <v>6.8659090601538054E-3</v>
      </c>
      <c r="K59" s="43">
        <v>7.2007045907128642E-2</v>
      </c>
      <c r="L59" s="43">
        <v>-5.4263515746346282E-2</v>
      </c>
      <c r="M59" s="43">
        <v>7.4141756950789617E-2</v>
      </c>
      <c r="N59" s="30">
        <v>1E-4</v>
      </c>
      <c r="Q59" s="45">
        <f t="shared" si="0"/>
        <v>-1.7716108460314683E-2</v>
      </c>
      <c r="R59" s="45">
        <f t="shared" si="1"/>
        <v>-7.4903886919065266E-3</v>
      </c>
      <c r="S59" s="45">
        <f t="shared" si="2"/>
        <v>0.19115683914426493</v>
      </c>
      <c r="T59" s="45">
        <f t="shared" si="3"/>
        <v>3.3460173370599908E-2</v>
      </c>
    </row>
    <row r="60" spans="10:20">
      <c r="J60" s="47">
        <v>-1.7616108460314684E-2</v>
      </c>
      <c r="K60" s="43">
        <v>-7.3903886919065263E-3</v>
      </c>
      <c r="L60" s="43">
        <v>0.19125683914426492</v>
      </c>
      <c r="M60" s="43">
        <v>3.3560173370599911E-2</v>
      </c>
      <c r="N60" s="30">
        <v>1E-4</v>
      </c>
      <c r="Q60" s="45">
        <f t="shared" si="0"/>
        <v>-7.9091236964796332E-3</v>
      </c>
      <c r="R60" s="45">
        <f t="shared" si="1"/>
        <v>7.3454131893476533E-3</v>
      </c>
      <c r="S60" s="45">
        <f t="shared" si="2"/>
        <v>0.29806506286430606</v>
      </c>
      <c r="T60" s="45">
        <f t="shared" si="3"/>
        <v>3.562338382551776E-2</v>
      </c>
    </row>
    <row r="61" spans="10:20">
      <c r="J61" s="47">
        <v>-7.8091236964796329E-3</v>
      </c>
      <c r="K61" s="43">
        <v>7.4454131893476536E-3</v>
      </c>
      <c r="L61" s="43">
        <v>0.29816506286430605</v>
      </c>
      <c r="M61" s="43">
        <v>3.5723383825517763E-2</v>
      </c>
      <c r="N61" s="30">
        <v>1E-4</v>
      </c>
      <c r="Q61" s="45">
        <f t="shared" si="0"/>
        <v>4.4599876568607283E-2</v>
      </c>
      <c r="R61" s="45">
        <f t="shared" si="1"/>
        <v>-3.0218429479910599E-2</v>
      </c>
      <c r="S61" s="45">
        <f t="shared" si="2"/>
        <v>-0.18727914688269806</v>
      </c>
      <c r="T61" s="45">
        <f t="shared" si="3"/>
        <v>-1.9761985847807084E-2</v>
      </c>
    </row>
    <row r="62" spans="10:20">
      <c r="J62" s="47">
        <v>4.4599876568607283E-2</v>
      </c>
      <c r="K62" s="43">
        <v>-3.0218429479910599E-2</v>
      </c>
      <c r="L62" s="43">
        <v>-0.18727914688269806</v>
      </c>
      <c r="M62" s="43">
        <v>-1.9761985847807084E-2</v>
      </c>
      <c r="N62" s="30">
        <v>0</v>
      </c>
      <c r="Q62" s="45">
        <f t="shared" si="0"/>
        <v>4.7439676471934533E-2</v>
      </c>
      <c r="R62" s="45">
        <f t="shared" si="1"/>
        <v>6.4182912184504989E-2</v>
      </c>
      <c r="S62" s="45">
        <f t="shared" si="2"/>
        <v>0.52391312482902541</v>
      </c>
      <c r="T62" s="45">
        <f t="shared" si="3"/>
        <v>5.7363996950366314E-2</v>
      </c>
    </row>
    <row r="63" spans="10:20">
      <c r="J63" s="47">
        <v>4.7439676471934533E-2</v>
      </c>
      <c r="K63" s="43">
        <v>6.4182912184504989E-2</v>
      </c>
      <c r="L63" s="43">
        <v>0.52391312482902541</v>
      </c>
      <c r="M63" s="43">
        <v>5.7363996950366314E-2</v>
      </c>
      <c r="N63" s="30">
        <v>0</v>
      </c>
      <c r="Q63" s="45">
        <f t="shared" si="0"/>
        <v>-9.1747759176590449E-2</v>
      </c>
      <c r="R63" s="45">
        <f t="shared" si="1"/>
        <v>2.4884142356925633E-2</v>
      </c>
      <c r="S63" s="45">
        <f t="shared" si="2"/>
        <v>0.38078444923201332</v>
      </c>
      <c r="T63" s="45">
        <f t="shared" si="3"/>
        <v>1.7670597738287375E-2</v>
      </c>
    </row>
    <row r="64" spans="10:20">
      <c r="J64" s="47">
        <v>-9.1647759176590446E-2</v>
      </c>
      <c r="K64" s="43">
        <v>2.4984142356925632E-2</v>
      </c>
      <c r="L64" s="43">
        <v>0.38088444923201331</v>
      </c>
      <c r="M64" s="43">
        <v>1.7770597738287375E-2</v>
      </c>
      <c r="N64" s="30">
        <v>1E-4</v>
      </c>
      <c r="Q64" s="45">
        <f t="shared" si="0"/>
        <v>-5.5140079214124282E-2</v>
      </c>
      <c r="R64" s="45">
        <f t="shared" si="1"/>
        <v>-2.4064632256334376E-2</v>
      </c>
      <c r="S64" s="45">
        <f t="shared" si="2"/>
        <v>-0.22933886333059317</v>
      </c>
      <c r="T64" s="45">
        <f t="shared" si="3"/>
        <v>-3.6974262397991176E-2</v>
      </c>
    </row>
    <row r="65" spans="10:20">
      <c r="J65" s="47">
        <v>-5.5140079214124282E-2</v>
      </c>
      <c r="K65" s="43">
        <v>-2.4064632256334376E-2</v>
      </c>
      <c r="L65" s="43">
        <v>-0.22933886333059317</v>
      </c>
      <c r="M65" s="43">
        <v>-3.6974262397991176E-2</v>
      </c>
      <c r="N65" s="30">
        <v>0</v>
      </c>
      <c r="Q65" s="45">
        <f t="shared" si="0"/>
        <v>8.8468057135556097E-3</v>
      </c>
      <c r="R65" s="45">
        <f t="shared" si="1"/>
        <v>2.227161760882689E-3</v>
      </c>
      <c r="S65" s="45">
        <f t="shared" si="2"/>
        <v>6.0321689941561243E-2</v>
      </c>
      <c r="T65" s="45">
        <f t="shared" si="3"/>
        <v>2.8513693463827261E-2</v>
      </c>
    </row>
    <row r="66" spans="10:20">
      <c r="J66" s="47">
        <v>8.8468057135556097E-3</v>
      </c>
      <c r="K66" s="43">
        <v>2.227161760882689E-3</v>
      </c>
      <c r="L66" s="43">
        <v>6.0321689941561243E-2</v>
      </c>
      <c r="M66" s="43">
        <v>2.8513693463827261E-2</v>
      </c>
      <c r="N66" s="30">
        <v>0</v>
      </c>
      <c r="Q66" s="45">
        <f t="shared" si="0"/>
        <v>3.0361590106670673E-2</v>
      </c>
      <c r="R66" s="45">
        <f t="shared" si="1"/>
        <v>3.4820586480034721E-2</v>
      </c>
      <c r="S66" s="45">
        <f t="shared" si="2"/>
        <v>0.17183434090855385</v>
      </c>
      <c r="T66" s="45">
        <f t="shared" si="3"/>
        <v>5.8696367554255766E-2</v>
      </c>
    </row>
    <row r="67" spans="10:20">
      <c r="J67" s="47">
        <v>3.0461590106670672E-2</v>
      </c>
      <c r="K67" s="43">
        <v>3.4920586480034724E-2</v>
      </c>
      <c r="L67" s="43">
        <v>0.17193434090855383</v>
      </c>
      <c r="M67" s="43">
        <v>5.8796367554255768E-2</v>
      </c>
      <c r="N67" s="30">
        <v>1E-4</v>
      </c>
      <c r="Q67" s="45">
        <f t="shared" si="0"/>
        <v>1.1694464713938157E-2</v>
      </c>
      <c r="R67" s="45">
        <f t="shared" si="1"/>
        <v>-1.3903588015484395E-2</v>
      </c>
      <c r="S67" s="45">
        <f t="shared" si="2"/>
        <v>-2.167505426787239E-2</v>
      </c>
      <c r="T67" s="45">
        <f t="shared" si="3"/>
        <v>1.4659327193589967E-2</v>
      </c>
    </row>
    <row r="68" spans="10:20">
      <c r="J68" s="47">
        <v>1.1794464713938156E-2</v>
      </c>
      <c r="K68" s="43">
        <v>-1.3803588015484395E-2</v>
      </c>
      <c r="L68" s="43">
        <v>-2.1575054267872391E-2</v>
      </c>
      <c r="M68" s="43">
        <v>1.4759327193589966E-2</v>
      </c>
      <c r="N68" s="30">
        <v>1E-4</v>
      </c>
      <c r="Q68" s="45">
        <f t="shared" ref="Q68:Q131" si="6">J69-N69</f>
        <v>-0.10796480626661858</v>
      </c>
      <c r="R68" s="45">
        <f t="shared" ref="R68:R131" si="7">K69-N69</f>
        <v>-9.3412652098439353E-2</v>
      </c>
      <c r="S68" s="45">
        <f t="shared" ref="S68:S131" si="8">L69-N69</f>
        <v>-5.5226793475563647E-2</v>
      </c>
      <c r="T68" s="45">
        <f t="shared" ref="T68:T131" si="9">M69-N69</f>
        <v>-8.2075916203894886E-2</v>
      </c>
    </row>
    <row r="69" spans="10:20">
      <c r="J69" s="47">
        <v>-0.10786480626661858</v>
      </c>
      <c r="K69" s="43">
        <v>-9.331265209843935E-2</v>
      </c>
      <c r="L69" s="43">
        <v>-5.5126793475563644E-2</v>
      </c>
      <c r="M69" s="43">
        <v>-8.1975916203894883E-2</v>
      </c>
      <c r="N69" s="30">
        <v>1E-4</v>
      </c>
      <c r="Q69" s="45">
        <f t="shared" si="6"/>
        <v>-5.6170119764838995E-2</v>
      </c>
      <c r="R69" s="45">
        <f t="shared" si="7"/>
        <v>1.2936057395818032E-2</v>
      </c>
      <c r="S69" s="45">
        <f t="shared" si="8"/>
        <v>-0.14595759249417112</v>
      </c>
      <c r="T69" s="45">
        <f t="shared" si="9"/>
        <v>-5.3982376699314397E-2</v>
      </c>
    </row>
    <row r="70" spans="10:20">
      <c r="J70" s="47">
        <v>-5.6070119764838992E-2</v>
      </c>
      <c r="K70" s="43">
        <v>1.3036057395818031E-2</v>
      </c>
      <c r="L70" s="43">
        <v>-0.14585759249417113</v>
      </c>
      <c r="M70" s="43">
        <v>-5.3882376699314394E-2</v>
      </c>
      <c r="N70" s="30">
        <v>1E-4</v>
      </c>
      <c r="Q70" s="45">
        <f t="shared" si="6"/>
        <v>4.5633320909554305E-2</v>
      </c>
      <c r="R70" s="45">
        <f t="shared" si="7"/>
        <v>-1.6523995904981357E-2</v>
      </c>
      <c r="S70" s="45">
        <f t="shared" si="8"/>
        <v>2.3123988452202905E-2</v>
      </c>
      <c r="T70" s="45">
        <f t="shared" si="9"/>
        <v>6.8677832756061305E-2</v>
      </c>
    </row>
    <row r="71" spans="10:20">
      <c r="J71" s="47">
        <v>4.5733320909554308E-2</v>
      </c>
      <c r="K71" s="43">
        <v>-1.6423995904981357E-2</v>
      </c>
      <c r="L71" s="43">
        <v>2.3223988452202905E-2</v>
      </c>
      <c r="M71" s="43">
        <v>6.8777832756061308E-2</v>
      </c>
      <c r="N71" s="30">
        <v>1E-4</v>
      </c>
      <c r="Q71" s="45">
        <f t="shared" si="6"/>
        <v>-9.6509331754273658E-3</v>
      </c>
      <c r="R71" s="45">
        <f t="shared" si="7"/>
        <v>-1.8519688277045917E-2</v>
      </c>
      <c r="S71" s="45">
        <f t="shared" si="8"/>
        <v>-0.25110129439965245</v>
      </c>
      <c r="T71" s="45">
        <f t="shared" si="9"/>
        <v>-4.7549164851125605E-2</v>
      </c>
    </row>
    <row r="72" spans="10:20">
      <c r="J72" s="47">
        <v>-9.5509331754273664E-3</v>
      </c>
      <c r="K72" s="43">
        <v>-1.8419688277045917E-2</v>
      </c>
      <c r="L72" s="43">
        <v>-0.25100129439965246</v>
      </c>
      <c r="M72" s="43">
        <v>-4.7449164851125603E-2</v>
      </c>
      <c r="N72" s="30">
        <v>1E-4</v>
      </c>
      <c r="Q72" s="45">
        <f t="shared" si="6"/>
        <v>4.523920279991419E-2</v>
      </c>
      <c r="R72" s="45">
        <f t="shared" si="7"/>
        <v>8.6536243196247975E-2</v>
      </c>
      <c r="S72" s="45">
        <f t="shared" si="8"/>
        <v>0.26727967278092019</v>
      </c>
      <c r="T72" s="45">
        <f t="shared" si="9"/>
        <v>8.7451104037814739E-2</v>
      </c>
    </row>
    <row r="73" spans="10:20">
      <c r="J73" s="47">
        <v>4.5339202799914192E-2</v>
      </c>
      <c r="K73" s="43">
        <v>8.6636243196247978E-2</v>
      </c>
      <c r="L73" s="43">
        <v>0.26737967278092017</v>
      </c>
      <c r="M73" s="43">
        <v>8.7551104037814742E-2</v>
      </c>
      <c r="N73" s="30">
        <v>1E-4</v>
      </c>
      <c r="Q73" s="45">
        <f t="shared" si="6"/>
        <v>7.5964037523927511E-2</v>
      </c>
      <c r="R73" s="45">
        <f t="shared" si="7"/>
        <v>2.8628254039632713E-2</v>
      </c>
      <c r="S73" s="45">
        <f t="shared" si="8"/>
        <v>3.1545555612859467E-2</v>
      </c>
      <c r="T73" s="45">
        <f t="shared" si="9"/>
        <v>3.6755941114616095E-2</v>
      </c>
    </row>
    <row r="74" spans="10:20">
      <c r="J74" s="47">
        <v>7.6064037523927513E-2</v>
      </c>
      <c r="K74" s="43">
        <v>2.8728254039632712E-2</v>
      </c>
      <c r="L74" s="43">
        <v>3.164555561285947E-2</v>
      </c>
      <c r="M74" s="43">
        <v>3.6855941114616098E-2</v>
      </c>
      <c r="N74" s="30">
        <v>1E-4</v>
      </c>
      <c r="Q74" s="45">
        <f t="shared" si="6"/>
        <v>4.6072353639028535E-2</v>
      </c>
      <c r="R74" s="45">
        <f t="shared" si="7"/>
        <v>-3.4458368116361313E-2</v>
      </c>
      <c r="S74" s="45">
        <f t="shared" si="8"/>
        <v>-6.2349796946031917E-3</v>
      </c>
      <c r="T74" s="45">
        <f t="shared" si="9"/>
        <v>-2.3902827780876265E-3</v>
      </c>
    </row>
    <row r="75" spans="10:20">
      <c r="J75" s="47">
        <v>4.6172353639028538E-2</v>
      </c>
      <c r="K75" s="43">
        <v>-3.435836811636131E-2</v>
      </c>
      <c r="L75" s="43">
        <v>-6.1349796946031914E-3</v>
      </c>
      <c r="M75" s="43">
        <v>-2.2902827780876267E-3</v>
      </c>
      <c r="N75" s="30">
        <v>1E-4</v>
      </c>
      <c r="Q75" s="45">
        <f t="shared" si="6"/>
        <v>5.1078914792075956E-2</v>
      </c>
      <c r="R75" s="45">
        <f t="shared" si="7"/>
        <v>4.7740737738289204E-3</v>
      </c>
      <c r="S75" s="45">
        <f t="shared" si="8"/>
        <v>0.12198509574484646</v>
      </c>
      <c r="T75" s="45">
        <f t="shared" si="9"/>
        <v>6.5200072000338935E-2</v>
      </c>
    </row>
    <row r="76" spans="10:20">
      <c r="J76" s="47">
        <v>5.1178914792075959E-2</v>
      </c>
      <c r="K76" s="43">
        <v>4.8740737738289207E-3</v>
      </c>
      <c r="L76" s="43">
        <v>0.12208509574484647</v>
      </c>
      <c r="M76" s="43">
        <v>6.5300072000338938E-2</v>
      </c>
      <c r="N76" s="30">
        <v>1E-4</v>
      </c>
      <c r="Q76" s="45">
        <f t="shared" si="6"/>
        <v>0.10329164762883081</v>
      </c>
      <c r="R76" s="45">
        <f t="shared" si="7"/>
        <v>-3.3729718151532737E-2</v>
      </c>
      <c r="S76" s="45">
        <f t="shared" si="8"/>
        <v>-4.2887331101719973E-2</v>
      </c>
      <c r="T76" s="45">
        <f t="shared" si="9"/>
        <v>2.254559015298473E-2</v>
      </c>
    </row>
    <row r="77" spans="10:20">
      <c r="J77" s="47">
        <v>0.10339164762883081</v>
      </c>
      <c r="K77" s="43">
        <v>-3.3629718151532734E-2</v>
      </c>
      <c r="L77" s="43">
        <v>-4.2787331101719971E-2</v>
      </c>
      <c r="M77" s="43">
        <v>2.2645590152984729E-2</v>
      </c>
      <c r="N77" s="30">
        <v>1E-4</v>
      </c>
      <c r="Q77" s="45">
        <f t="shared" si="6"/>
        <v>6.0014011598608738E-2</v>
      </c>
      <c r="R77" s="45">
        <f t="shared" si="7"/>
        <v>2.7840407497995802E-2</v>
      </c>
      <c r="S77" s="45">
        <f t="shared" si="8"/>
        <v>0.17614522706096575</v>
      </c>
      <c r="T77" s="45">
        <f t="shared" si="9"/>
        <v>3.1856582589494073E-2</v>
      </c>
    </row>
    <row r="78" spans="10:20">
      <c r="J78" s="47">
        <v>6.0114011598608741E-2</v>
      </c>
      <c r="K78" s="43">
        <v>2.7940407497995801E-2</v>
      </c>
      <c r="L78" s="43">
        <v>0.17624522706096574</v>
      </c>
      <c r="M78" s="43">
        <v>3.1956582589494076E-2</v>
      </c>
      <c r="N78" s="30">
        <v>1E-4</v>
      </c>
      <c r="Q78" s="45">
        <f t="shared" si="6"/>
        <v>-1.6468543737402534E-2</v>
      </c>
      <c r="R78" s="45">
        <f t="shared" si="7"/>
        <v>-3.5744509694975092E-2</v>
      </c>
      <c r="S78" s="45">
        <f t="shared" si="8"/>
        <v>-6.6332318583136124E-2</v>
      </c>
      <c r="T78" s="45">
        <f t="shared" si="9"/>
        <v>-1.1473018791158362E-3</v>
      </c>
    </row>
    <row r="79" spans="10:20">
      <c r="J79" s="47">
        <v>-1.6368543737402534E-2</v>
      </c>
      <c r="K79" s="43">
        <v>-3.5644509694975089E-2</v>
      </c>
      <c r="L79" s="43">
        <v>-6.6232318583136121E-2</v>
      </c>
      <c r="M79" s="43">
        <v>-1.0473018791158362E-3</v>
      </c>
      <c r="N79" s="30">
        <v>1E-4</v>
      </c>
      <c r="Q79" s="45">
        <f t="shared" si="6"/>
        <v>4.5762584443198827E-2</v>
      </c>
      <c r="R79" s="45">
        <f t="shared" si="7"/>
        <v>0.10919833283887131</v>
      </c>
      <c r="S79" s="45">
        <f t="shared" si="8"/>
        <v>5.8139532304828899E-2</v>
      </c>
      <c r="T79" s="45">
        <f t="shared" si="9"/>
        <v>2.8495357625034856E-2</v>
      </c>
    </row>
    <row r="80" spans="10:20">
      <c r="J80" s="47">
        <v>4.5762584443198827E-2</v>
      </c>
      <c r="K80" s="43">
        <v>0.10919833283887131</v>
      </c>
      <c r="L80" s="43">
        <v>5.8139532304828899E-2</v>
      </c>
      <c r="M80" s="43">
        <v>2.8495357625034856E-2</v>
      </c>
      <c r="N80" s="30">
        <v>0</v>
      </c>
      <c r="Q80" s="45">
        <f t="shared" si="6"/>
        <v>-5.1261672700027704E-2</v>
      </c>
      <c r="R80" s="45">
        <f t="shared" si="7"/>
        <v>2.3889221936435955E-2</v>
      </c>
      <c r="S80" s="45">
        <f t="shared" si="8"/>
        <v>-4.6153852603038219E-2</v>
      </c>
      <c r="T80" s="45">
        <f t="shared" si="9"/>
        <v>-1.350092768460176E-2</v>
      </c>
    </row>
    <row r="81" spans="10:20">
      <c r="J81" s="47">
        <v>-5.1261672700027704E-2</v>
      </c>
      <c r="K81" s="43">
        <v>2.3889221936435955E-2</v>
      </c>
      <c r="L81" s="43">
        <v>-4.6153852603038219E-2</v>
      </c>
      <c r="M81" s="43">
        <v>-1.350092768460176E-2</v>
      </c>
      <c r="N81" s="30">
        <v>0</v>
      </c>
      <c r="Q81" s="45">
        <f t="shared" si="6"/>
        <v>-2.503898330801475E-2</v>
      </c>
      <c r="R81" s="45">
        <f t="shared" si="7"/>
        <v>-1.1443071213917267E-2</v>
      </c>
      <c r="S81" s="45">
        <f t="shared" si="8"/>
        <v>-0.19470051551149023</v>
      </c>
      <c r="T81" s="45">
        <f t="shared" si="9"/>
        <v>-1.8257508177222714E-2</v>
      </c>
    </row>
    <row r="82" spans="10:20">
      <c r="J82" s="47">
        <v>-2.503898330801475E-2</v>
      </c>
      <c r="K82" s="43">
        <v>-1.1443071213917267E-2</v>
      </c>
      <c r="L82" s="43">
        <v>-0.19470051551149023</v>
      </c>
      <c r="M82" s="43">
        <v>-1.8257508177222714E-2</v>
      </c>
      <c r="N82" s="30">
        <v>0</v>
      </c>
      <c r="Q82" s="45">
        <f t="shared" si="6"/>
        <v>-1.9537925676494722E-2</v>
      </c>
      <c r="R82" s="45">
        <f t="shared" si="7"/>
        <v>-2.6007152959160371E-2</v>
      </c>
      <c r="S82" s="45">
        <f t="shared" si="8"/>
        <v>5.0071586971416782E-2</v>
      </c>
      <c r="T82" s="45">
        <f t="shared" si="9"/>
        <v>-2.147443663678239E-2</v>
      </c>
    </row>
    <row r="83" spans="10:20">
      <c r="J83" s="47">
        <v>-1.9537925676494722E-2</v>
      </c>
      <c r="K83" s="43">
        <v>-2.6007152959160371E-2</v>
      </c>
      <c r="L83" s="43">
        <v>5.0071586971416782E-2</v>
      </c>
      <c r="M83" s="43">
        <v>-2.147443663678239E-2</v>
      </c>
      <c r="N83" s="30">
        <v>0</v>
      </c>
      <c r="Q83" s="45">
        <f t="shared" si="6"/>
        <v>-7.2414879135915378E-2</v>
      </c>
      <c r="R83" s="45">
        <f t="shared" si="7"/>
        <v>1.5488858187350562E-2</v>
      </c>
      <c r="S83" s="45">
        <f t="shared" si="8"/>
        <v>-6.9582318566713292E-2</v>
      </c>
      <c r="T83" s="45">
        <f t="shared" si="9"/>
        <v>-5.6891097904478674E-2</v>
      </c>
    </row>
    <row r="84" spans="10:20">
      <c r="J84" s="47">
        <v>-7.2314879135915375E-2</v>
      </c>
      <c r="K84" s="43">
        <v>1.5588858187350561E-2</v>
      </c>
      <c r="L84" s="43">
        <v>-6.9482318566713289E-2</v>
      </c>
      <c r="M84" s="43">
        <v>-5.6791097904478671E-2</v>
      </c>
      <c r="N84" s="30">
        <v>1E-4</v>
      </c>
      <c r="Q84" s="45">
        <f t="shared" si="6"/>
        <v>-1.8778701063054445E-2</v>
      </c>
      <c r="R84" s="45">
        <f t="shared" si="7"/>
        <v>-3.2066935063652102E-2</v>
      </c>
      <c r="S84" s="45">
        <f t="shared" si="8"/>
        <v>-0.25622255044630005</v>
      </c>
      <c r="T84" s="45">
        <f t="shared" si="9"/>
        <v>-7.1762012979021961E-2</v>
      </c>
    </row>
    <row r="85" spans="10:20">
      <c r="J85" s="47">
        <v>-1.8778701063054445E-2</v>
      </c>
      <c r="K85" s="43">
        <v>-3.2066935063652102E-2</v>
      </c>
      <c r="L85" s="43">
        <v>-0.25622255044630005</v>
      </c>
      <c r="M85" s="43">
        <v>-7.1762012979021961E-2</v>
      </c>
      <c r="N85" s="30">
        <v>0</v>
      </c>
      <c r="Q85" s="45">
        <f t="shared" si="6"/>
        <v>7.517553753199005E-2</v>
      </c>
      <c r="R85" s="45">
        <f t="shared" si="7"/>
        <v>1.099074859527319E-2</v>
      </c>
      <c r="S85" s="45">
        <f t="shared" si="8"/>
        <v>0.1476377974928878</v>
      </c>
      <c r="T85" s="45">
        <f t="shared" si="9"/>
        <v>0.10772303830584562</v>
      </c>
    </row>
    <row r="86" spans="10:20">
      <c r="J86" s="47">
        <v>7.517553753199005E-2</v>
      </c>
      <c r="K86" s="43">
        <v>1.099074859527319E-2</v>
      </c>
      <c r="L86" s="43">
        <v>0.1476377974928878</v>
      </c>
      <c r="M86" s="43">
        <v>0.10772303830584562</v>
      </c>
      <c r="N86" s="30">
        <v>0</v>
      </c>
      <c r="Q86" s="45">
        <f t="shared" si="6"/>
        <v>3.0093561451165814E-2</v>
      </c>
      <c r="R86" s="45">
        <f t="shared" si="7"/>
        <v>5.1250478984744292E-3</v>
      </c>
      <c r="S86" s="45">
        <f t="shared" si="8"/>
        <v>-2.4013699539913478E-2</v>
      </c>
      <c r="T86" s="45">
        <f t="shared" si="9"/>
        <v>-5.0586451767333784E-3</v>
      </c>
    </row>
    <row r="87" spans="10:20">
      <c r="J87" s="47">
        <v>3.0093561451165814E-2</v>
      </c>
      <c r="K87" s="43">
        <v>5.1250478984744292E-3</v>
      </c>
      <c r="L87" s="43">
        <v>-2.4013699539913478E-2</v>
      </c>
      <c r="M87" s="43">
        <v>-5.0586451767333784E-3</v>
      </c>
      <c r="N87" s="30">
        <v>0</v>
      </c>
      <c r="Q87" s="45">
        <f t="shared" si="6"/>
        <v>5.3704619141091821E-2</v>
      </c>
      <c r="R87" s="45">
        <f t="shared" si="7"/>
        <v>1.3288019068770644E-2</v>
      </c>
      <c r="S87" s="45">
        <f t="shared" si="8"/>
        <v>-5.0966600867608972E-2</v>
      </c>
      <c r="T87" s="45">
        <f t="shared" si="9"/>
        <v>8.5327516520175006E-3</v>
      </c>
    </row>
    <row r="88" spans="10:20">
      <c r="J88" s="47">
        <v>5.3704619141091821E-2</v>
      </c>
      <c r="K88" s="43">
        <v>1.3288019068770644E-2</v>
      </c>
      <c r="L88" s="43">
        <v>-5.0966600867608972E-2</v>
      </c>
      <c r="M88" s="43">
        <v>8.5327516520175006E-3</v>
      </c>
      <c r="N88" s="30">
        <v>0</v>
      </c>
      <c r="Q88" s="45">
        <f t="shared" si="6"/>
        <v>-1.2034028394920709E-2</v>
      </c>
      <c r="R88" s="45">
        <f t="shared" si="7"/>
        <v>5.0320497383459784E-3</v>
      </c>
      <c r="S88" s="45">
        <f t="shared" si="8"/>
        <v>0.2425925777118722</v>
      </c>
      <c r="T88" s="45">
        <f t="shared" si="9"/>
        <v>4.3583015267175673E-2</v>
      </c>
    </row>
    <row r="89" spans="10:20">
      <c r="J89" s="47">
        <v>-1.2034028394920709E-2</v>
      </c>
      <c r="K89" s="43">
        <v>5.0320497383459784E-3</v>
      </c>
      <c r="L89" s="43">
        <v>0.2425925777118722</v>
      </c>
      <c r="M89" s="43">
        <v>4.3583015267175673E-2</v>
      </c>
      <c r="N89" s="30">
        <v>0</v>
      </c>
      <c r="Q89" s="45">
        <f t="shared" si="6"/>
        <v>3.2959185653676684E-2</v>
      </c>
      <c r="R89" s="45">
        <f t="shared" si="7"/>
        <v>-1.2592956834135976E-2</v>
      </c>
      <c r="S89" s="45">
        <f t="shared" si="8"/>
        <v>9.538000936619033E-2</v>
      </c>
      <c r="T89" s="45">
        <f t="shared" si="9"/>
        <v>4.0589449943234213E-2</v>
      </c>
    </row>
    <row r="90" spans="10:20">
      <c r="J90" s="47">
        <v>3.2959185653676684E-2</v>
      </c>
      <c r="K90" s="43">
        <v>-1.2592956834135976E-2</v>
      </c>
      <c r="L90" s="43">
        <v>9.538000936619033E-2</v>
      </c>
      <c r="M90" s="43">
        <v>4.0589449943234213E-2</v>
      </c>
      <c r="N90" s="30">
        <v>0</v>
      </c>
      <c r="Q90" s="45">
        <f t="shared" si="6"/>
        <v>2.6589983460531068E-3</v>
      </c>
      <c r="R90" s="45">
        <f t="shared" si="7"/>
        <v>1.3521776715716903E-2</v>
      </c>
      <c r="S90" s="45">
        <f t="shared" si="8"/>
        <v>9.1156539023737215E-2</v>
      </c>
      <c r="T90" s="45">
        <f t="shared" si="9"/>
        <v>3.1332376545017748E-2</v>
      </c>
    </row>
    <row r="91" spans="10:20">
      <c r="J91" s="47">
        <v>2.6589983460531068E-3</v>
      </c>
      <c r="K91" s="43">
        <v>1.3521776715716903E-2</v>
      </c>
      <c r="L91" s="43">
        <v>9.1156539023737215E-2</v>
      </c>
      <c r="M91" s="43">
        <v>3.1332376545017748E-2</v>
      </c>
      <c r="N91" s="30">
        <v>0</v>
      </c>
      <c r="Q91" s="45">
        <f t="shared" si="6"/>
        <v>-4.4967946955785489E-3</v>
      </c>
      <c r="R91" s="45">
        <f t="shared" si="7"/>
        <v>-1.3038214407040696E-2</v>
      </c>
      <c r="S91" s="45">
        <f t="shared" si="8"/>
        <v>-8.2294300072060678E-2</v>
      </c>
      <c r="T91" s="45">
        <f t="shared" si="9"/>
        <v>-7.497497284287058E-3</v>
      </c>
    </row>
    <row r="92" spans="10:20">
      <c r="J92" s="47">
        <v>-4.4967946955785489E-3</v>
      </c>
      <c r="K92" s="43">
        <v>-1.3038214407040696E-2</v>
      </c>
      <c r="L92" s="43">
        <v>-8.2294300072060678E-2</v>
      </c>
      <c r="M92" s="43">
        <v>-7.497497284287058E-3</v>
      </c>
      <c r="N92" s="30">
        <v>0</v>
      </c>
      <c r="Q92" s="45">
        <f t="shared" si="6"/>
        <v>-8.9398116880844661E-2</v>
      </c>
      <c r="R92" s="45">
        <f t="shared" si="7"/>
        <v>-4.1113797719314921E-2</v>
      </c>
      <c r="S92" s="45">
        <f t="shared" si="8"/>
        <v>-0.17401306882995241</v>
      </c>
      <c r="T92" s="45">
        <f t="shared" si="9"/>
        <v>-6.2750671359386626E-2</v>
      </c>
    </row>
    <row r="93" spans="10:20">
      <c r="J93" s="47">
        <v>-8.9298116880844658E-2</v>
      </c>
      <c r="K93" s="43">
        <v>-4.1013797719314918E-2</v>
      </c>
      <c r="L93" s="43">
        <v>-0.17391306882995242</v>
      </c>
      <c r="M93" s="43">
        <v>-6.2650671359386623E-2</v>
      </c>
      <c r="N93" s="30">
        <v>1E-4</v>
      </c>
      <c r="Q93" s="45">
        <f t="shared" si="6"/>
        <v>8.8261511939765142E-2</v>
      </c>
      <c r="R93" s="45">
        <f t="shared" si="7"/>
        <v>8.2171988280331065E-2</v>
      </c>
      <c r="S93" s="45">
        <f t="shared" si="8"/>
        <v>-5.7565774510606647E-2</v>
      </c>
      <c r="T93" s="45">
        <f t="shared" si="9"/>
        <v>3.9554921279372435E-2</v>
      </c>
    </row>
    <row r="94" spans="10:20">
      <c r="J94" s="47">
        <v>8.8261511939765142E-2</v>
      </c>
      <c r="K94" s="43">
        <v>8.2171988280331065E-2</v>
      </c>
      <c r="L94" s="43">
        <v>-5.7565774510606647E-2</v>
      </c>
      <c r="M94" s="43">
        <v>3.9554921279372435E-2</v>
      </c>
      <c r="N94" s="30">
        <v>0</v>
      </c>
      <c r="Q94" s="45">
        <f t="shared" si="6"/>
        <v>1.4958499285518834E-2</v>
      </c>
      <c r="R94" s="45">
        <f t="shared" si="7"/>
        <v>2.4570807017417064E-2</v>
      </c>
      <c r="S94" s="45">
        <f t="shared" si="8"/>
        <v>-0.29144852892408479</v>
      </c>
      <c r="T94" s="45">
        <f t="shared" si="9"/>
        <v>1.2597639043871345E-2</v>
      </c>
    </row>
    <row r="95" spans="10:20">
      <c r="J95" s="47">
        <v>1.4958499285518834E-2</v>
      </c>
      <c r="K95" s="43">
        <v>2.4570807017417064E-2</v>
      </c>
      <c r="L95" s="43">
        <v>-0.29144852892408479</v>
      </c>
      <c r="M95" s="43">
        <v>1.2597639043871345E-2</v>
      </c>
      <c r="N95" s="30">
        <v>0</v>
      </c>
      <c r="Q95" s="45">
        <f t="shared" si="6"/>
        <v>5.0813999486805711E-3</v>
      </c>
      <c r="R95" s="45">
        <f t="shared" si="7"/>
        <v>-2.595959092690639E-2</v>
      </c>
      <c r="S95" s="45">
        <f t="shared" si="8"/>
        <v>-8.3843822404229426E-2</v>
      </c>
      <c r="T95" s="45">
        <f t="shared" si="9"/>
        <v>1.9663361656468304E-2</v>
      </c>
    </row>
    <row r="96" spans="10:20">
      <c r="J96" s="47">
        <v>5.1813999486805713E-3</v>
      </c>
      <c r="K96" s="43">
        <v>-2.585959092690639E-2</v>
      </c>
      <c r="L96" s="43">
        <v>-8.3743822404229423E-2</v>
      </c>
      <c r="M96" s="43">
        <v>1.9763361656468303E-2</v>
      </c>
      <c r="N96" s="30">
        <v>1E-4</v>
      </c>
      <c r="Q96" s="45">
        <f t="shared" si="6"/>
        <v>4.7437156373567997E-2</v>
      </c>
      <c r="R96" s="45">
        <f t="shared" si="7"/>
        <v>2.1848737212448031E-2</v>
      </c>
      <c r="S96" s="45">
        <f t="shared" si="8"/>
        <v>-9.4186059236377351E-2</v>
      </c>
      <c r="T96" s="45">
        <f t="shared" si="9"/>
        <v>2.4136090375236553E-2</v>
      </c>
    </row>
    <row r="97" spans="10:20">
      <c r="J97" s="47">
        <v>4.7537156373568E-2</v>
      </c>
      <c r="K97" s="43">
        <v>2.1948737212448031E-2</v>
      </c>
      <c r="L97" s="43">
        <v>-9.4086059236377348E-2</v>
      </c>
      <c r="M97" s="43">
        <v>2.4236090375236552E-2</v>
      </c>
      <c r="N97" s="30">
        <v>1E-4</v>
      </c>
      <c r="Q97" s="45">
        <f t="shared" si="6"/>
        <v>-3.1617691486129349E-3</v>
      </c>
      <c r="R97" s="45">
        <f t="shared" si="7"/>
        <v>2.7617253391543032E-2</v>
      </c>
      <c r="S97" s="45">
        <f t="shared" si="8"/>
        <v>-0.39179138815083675</v>
      </c>
      <c r="T97" s="45">
        <f t="shared" si="9"/>
        <v>-1.988940354140779E-2</v>
      </c>
    </row>
    <row r="98" spans="10:20">
      <c r="J98" s="47">
        <v>-3.0617691486129351E-3</v>
      </c>
      <c r="K98" s="43">
        <v>2.7717253391543031E-2</v>
      </c>
      <c r="L98" s="43">
        <v>-0.39169138815083676</v>
      </c>
      <c r="M98" s="43">
        <v>-1.9789403541407791E-2</v>
      </c>
      <c r="N98" s="30">
        <v>1E-4</v>
      </c>
      <c r="Q98" s="45">
        <f t="shared" si="6"/>
        <v>-3.33346039283893E-2</v>
      </c>
      <c r="R98" s="45">
        <f t="shared" si="7"/>
        <v>-1.5491080804682436E-2</v>
      </c>
      <c r="S98" s="45">
        <f t="shared" si="8"/>
        <v>7.3070779929993321E-2</v>
      </c>
      <c r="T98" s="45">
        <f t="shared" si="9"/>
        <v>2.7467029231815657E-3</v>
      </c>
    </row>
    <row r="99" spans="10:20">
      <c r="J99" s="47">
        <v>-3.3234603928389297E-2</v>
      </c>
      <c r="K99" s="43">
        <v>-1.5391080804682437E-2</v>
      </c>
      <c r="L99" s="43">
        <v>7.3170779929993324E-2</v>
      </c>
      <c r="M99" s="43">
        <v>2.8467029231815655E-3</v>
      </c>
      <c r="N99" s="30">
        <v>1E-4</v>
      </c>
      <c r="Q99" s="45">
        <f t="shared" si="6"/>
        <v>-1.8139441217393078E-2</v>
      </c>
      <c r="R99" s="45">
        <f t="shared" si="7"/>
        <v>5.2061107037894554E-3</v>
      </c>
      <c r="S99" s="45">
        <f t="shared" si="8"/>
        <v>9.0809110613105287E-2</v>
      </c>
      <c r="T99" s="45">
        <f t="shared" si="9"/>
        <v>6.9683105254980558E-3</v>
      </c>
    </row>
    <row r="100" spans="10:20">
      <c r="J100" s="47">
        <v>-1.8039441217393079E-2</v>
      </c>
      <c r="K100" s="43">
        <v>5.3061107037894557E-3</v>
      </c>
      <c r="L100" s="43">
        <v>9.090911061310529E-2</v>
      </c>
      <c r="M100" s="43">
        <v>7.0683105254980561E-3</v>
      </c>
      <c r="N100" s="30">
        <v>1E-4</v>
      </c>
      <c r="Q100" s="45">
        <f t="shared" si="6"/>
        <v>3.9514708819826584E-2</v>
      </c>
      <c r="R100" s="45">
        <f t="shared" si="7"/>
        <v>5.4493577431880443E-2</v>
      </c>
      <c r="S100" s="45">
        <f t="shared" si="8"/>
        <v>8.3333250549107771E-2</v>
      </c>
      <c r="T100" s="45">
        <f t="shared" si="9"/>
        <v>5.0428063581991145E-2</v>
      </c>
    </row>
    <row r="101" spans="10:20">
      <c r="J101" s="47">
        <v>3.9514708819826584E-2</v>
      </c>
      <c r="K101" s="43">
        <v>5.4493577431880443E-2</v>
      </c>
      <c r="L101" s="43">
        <v>8.3333250549107771E-2</v>
      </c>
      <c r="M101" s="43">
        <v>5.0428063581991145E-2</v>
      </c>
      <c r="N101" s="30">
        <v>0</v>
      </c>
      <c r="Q101" s="45">
        <f t="shared" si="6"/>
        <v>-4.6682023257399504E-3</v>
      </c>
      <c r="R101" s="45">
        <f t="shared" si="7"/>
        <v>2.9626657138180187E-2</v>
      </c>
      <c r="S101" s="45">
        <f t="shared" si="8"/>
        <v>-4.2307653511768246E-2</v>
      </c>
      <c r="T101" s="45">
        <f t="shared" si="9"/>
        <v>1.1060603026480154E-2</v>
      </c>
    </row>
    <row r="102" spans="10:20">
      <c r="J102" s="47">
        <v>-4.6682023257399504E-3</v>
      </c>
      <c r="K102" s="43">
        <v>2.9626657138180187E-2</v>
      </c>
      <c r="L102" s="43">
        <v>-4.2307653511768246E-2</v>
      </c>
      <c r="M102" s="43">
        <v>1.1060603026480154E-2</v>
      </c>
      <c r="N102" s="30">
        <v>0</v>
      </c>
      <c r="Q102" s="45">
        <f t="shared" si="6"/>
        <v>6.2534621944131535E-3</v>
      </c>
      <c r="R102" s="45">
        <f t="shared" si="7"/>
        <v>7.1212693804763277E-2</v>
      </c>
      <c r="S102" s="45">
        <f t="shared" si="8"/>
        <v>2.409636246977518E-2</v>
      </c>
      <c r="T102" s="45">
        <f t="shared" si="9"/>
        <v>3.5987799403174314E-2</v>
      </c>
    </row>
    <row r="103" spans="10:20">
      <c r="J103" s="47">
        <v>6.2534621944131535E-3</v>
      </c>
      <c r="K103" s="43">
        <v>7.1212693804763277E-2</v>
      </c>
      <c r="L103" s="43">
        <v>2.409636246977518E-2</v>
      </c>
      <c r="M103" s="43">
        <v>3.5987799403174314E-2</v>
      </c>
      <c r="N103" s="30">
        <v>0</v>
      </c>
      <c r="Q103" s="45">
        <f t="shared" si="6"/>
        <v>-1.2429283531192971E-2</v>
      </c>
      <c r="R103" s="45">
        <f t="shared" si="7"/>
        <v>4.5382124776583099E-2</v>
      </c>
      <c r="S103" s="45">
        <f t="shared" si="8"/>
        <v>0.10588234744132448</v>
      </c>
      <c r="T103" s="45">
        <f t="shared" si="9"/>
        <v>1.8085763992887971E-2</v>
      </c>
    </row>
    <row r="104" spans="10:20">
      <c r="J104" s="47">
        <v>-1.2429283531192971E-2</v>
      </c>
      <c r="K104" s="43">
        <v>4.5382124776583099E-2</v>
      </c>
      <c r="L104" s="43">
        <v>0.10588234744132448</v>
      </c>
      <c r="M104" s="43">
        <v>1.8085763992887971E-2</v>
      </c>
      <c r="N104" s="30">
        <v>0</v>
      </c>
      <c r="Q104" s="45">
        <f t="shared" si="6"/>
        <v>1.6631120265889421E-2</v>
      </c>
      <c r="R104" s="45">
        <f t="shared" si="7"/>
        <v>-1.2319641093530394E-2</v>
      </c>
      <c r="S104" s="45">
        <f t="shared" si="8"/>
        <v>0.41843974989045002</v>
      </c>
      <c r="T104" s="45">
        <f t="shared" si="9"/>
        <v>2.0762783477406455E-2</v>
      </c>
    </row>
    <row r="105" spans="10:20">
      <c r="J105" s="47">
        <v>1.6631120265889421E-2</v>
      </c>
      <c r="K105" s="43">
        <v>-1.2319641093530394E-2</v>
      </c>
      <c r="L105" s="43">
        <v>0.41843974989045002</v>
      </c>
      <c r="M105" s="43">
        <v>2.0762783477406455E-2</v>
      </c>
      <c r="N105" s="30">
        <v>0</v>
      </c>
      <c r="Q105" s="45">
        <f t="shared" si="6"/>
        <v>-1.3264368847446181E-3</v>
      </c>
      <c r="R105" s="45">
        <f t="shared" si="7"/>
        <v>1.9957238050431404E-2</v>
      </c>
      <c r="S105" s="45">
        <f t="shared" si="8"/>
        <v>1.9999980926513672E-2</v>
      </c>
      <c r="T105" s="45">
        <f t="shared" si="9"/>
        <v>-1.499932545960736E-2</v>
      </c>
    </row>
    <row r="106" spans="10:20">
      <c r="J106" s="47">
        <v>-1.3264368847446181E-3</v>
      </c>
      <c r="K106" s="43">
        <v>1.9957238050431404E-2</v>
      </c>
      <c r="L106" s="43">
        <v>1.9999980926513672E-2</v>
      </c>
      <c r="M106" s="43">
        <v>-1.499932545960736E-2</v>
      </c>
      <c r="N106" s="30">
        <v>0</v>
      </c>
      <c r="Q106" s="45">
        <f t="shared" si="6"/>
        <v>3.7631450838958976E-2</v>
      </c>
      <c r="R106" s="45">
        <f t="shared" si="7"/>
        <v>8.8982056083602379E-2</v>
      </c>
      <c r="S106" s="45">
        <f t="shared" si="8"/>
        <v>-7.5980379553035285E-2</v>
      </c>
      <c r="T106" s="45">
        <f t="shared" si="9"/>
        <v>4.9462111213487203E-2</v>
      </c>
    </row>
    <row r="107" spans="10:20">
      <c r="J107" s="47">
        <v>3.7631450838958976E-2</v>
      </c>
      <c r="K107" s="43">
        <v>8.8982056083602379E-2</v>
      </c>
      <c r="L107" s="43">
        <v>-7.5980379553035285E-2</v>
      </c>
      <c r="M107" s="43">
        <v>4.9462111213487203E-2</v>
      </c>
      <c r="N107" s="30">
        <v>0</v>
      </c>
      <c r="Q107" s="45">
        <f t="shared" si="6"/>
        <v>-7.0293294270833334E-2</v>
      </c>
      <c r="R107" s="45">
        <f t="shared" si="7"/>
        <v>-7.5828837838402413E-2</v>
      </c>
      <c r="S107" s="45">
        <f t="shared" si="8"/>
        <v>-0.13262599536595229</v>
      </c>
      <c r="T107" s="45">
        <f t="shared" si="9"/>
        <v>-3.1298013323604712E-2</v>
      </c>
    </row>
    <row r="108" spans="10:20">
      <c r="J108" s="47">
        <v>-7.0293294270833334E-2</v>
      </c>
      <c r="K108" s="43">
        <v>-7.5828837838402413E-2</v>
      </c>
      <c r="L108" s="43">
        <v>-0.13262599536595229</v>
      </c>
      <c r="M108" s="43">
        <v>-3.1298013323604712E-2</v>
      </c>
      <c r="N108" s="30">
        <v>0</v>
      </c>
      <c r="Q108" s="45">
        <f t="shared" si="6"/>
        <v>-1.2849962133135205E-2</v>
      </c>
      <c r="R108" s="45">
        <f t="shared" si="7"/>
        <v>3.2403514342130963E-3</v>
      </c>
      <c r="S108" s="45">
        <f t="shared" si="8"/>
        <v>0.16513760397638447</v>
      </c>
      <c r="T108" s="45">
        <f t="shared" si="9"/>
        <v>2.9749474883188354E-2</v>
      </c>
    </row>
    <row r="109" spans="10:20">
      <c r="J109" s="47">
        <v>-1.2849962133135205E-2</v>
      </c>
      <c r="K109" s="43">
        <v>3.2403514342130963E-3</v>
      </c>
      <c r="L109" s="43">
        <v>0.16513760397638447</v>
      </c>
      <c r="M109" s="43">
        <v>2.9749474883188354E-2</v>
      </c>
      <c r="N109" s="30">
        <v>0</v>
      </c>
      <c r="Q109" s="45">
        <f t="shared" si="6"/>
        <v>4.1608574999545553E-2</v>
      </c>
      <c r="R109" s="45">
        <f t="shared" si="7"/>
        <v>6.8289283680048773E-2</v>
      </c>
      <c r="S109" s="45">
        <f t="shared" si="8"/>
        <v>-0.12335958941441517</v>
      </c>
      <c r="T109" s="45">
        <f t="shared" si="9"/>
        <v>4.4595759864410889E-2</v>
      </c>
    </row>
    <row r="110" spans="10:20">
      <c r="J110" s="47">
        <v>4.1608574999545553E-2</v>
      </c>
      <c r="K110" s="43">
        <v>6.8289283680048773E-2</v>
      </c>
      <c r="L110" s="43">
        <v>-0.12335958941441517</v>
      </c>
      <c r="M110" s="43">
        <v>4.4595759864410889E-2</v>
      </c>
      <c r="N110" s="30">
        <v>0</v>
      </c>
      <c r="Q110" s="45">
        <f t="shared" si="6"/>
        <v>4.3070748628143474E-2</v>
      </c>
      <c r="R110" s="45">
        <f t="shared" si="7"/>
        <v>2.2135871269270586E-2</v>
      </c>
      <c r="S110" s="45">
        <f t="shared" si="8"/>
        <v>8.9820418695871748E-2</v>
      </c>
      <c r="T110" s="45">
        <f t="shared" si="9"/>
        <v>2.804946087194149E-2</v>
      </c>
    </row>
    <row r="111" spans="10:20">
      <c r="J111" s="47">
        <v>4.3070748628143474E-2</v>
      </c>
      <c r="K111" s="43">
        <v>2.2135871269270586E-2</v>
      </c>
      <c r="L111" s="43">
        <v>8.9820418695871748E-2</v>
      </c>
      <c r="M111" s="43">
        <v>2.804946087194149E-2</v>
      </c>
      <c r="N111" s="30">
        <v>0</v>
      </c>
      <c r="Q111" s="45">
        <f t="shared" si="6"/>
        <v>8.2584438533142041E-2</v>
      </c>
      <c r="R111" s="45">
        <f t="shared" si="7"/>
        <v>-3.2431937517953174E-2</v>
      </c>
      <c r="S111" s="45">
        <f t="shared" si="8"/>
        <v>6.3186751106140998E-2</v>
      </c>
      <c r="T111" s="45">
        <f t="shared" si="9"/>
        <v>2.3562833299184183E-2</v>
      </c>
    </row>
    <row r="112" spans="10:20">
      <c r="J112" s="47">
        <v>8.2584438533142041E-2</v>
      </c>
      <c r="K112" s="43">
        <v>-3.2431937517953174E-2</v>
      </c>
      <c r="L112" s="43">
        <v>6.3186751106140998E-2</v>
      </c>
      <c r="M112" s="43">
        <v>2.3562833299184183E-2</v>
      </c>
      <c r="N112" s="30">
        <v>0</v>
      </c>
      <c r="Q112" s="45">
        <f t="shared" si="6"/>
        <v>-8.9327999592294788E-2</v>
      </c>
      <c r="R112" s="45">
        <f t="shared" si="7"/>
        <v>-3.4064802292133767E-2</v>
      </c>
      <c r="S112" s="45">
        <f t="shared" si="8"/>
        <v>-0.11369504698016678</v>
      </c>
      <c r="T112" s="45">
        <f t="shared" si="9"/>
        <v>-3.5582895107013846E-2</v>
      </c>
    </row>
    <row r="113" spans="10:20">
      <c r="J113" s="47">
        <v>-8.9327999592294788E-2</v>
      </c>
      <c r="K113" s="43">
        <v>-3.4064802292133767E-2</v>
      </c>
      <c r="L113" s="43">
        <v>-0.11369504698016678</v>
      </c>
      <c r="M113" s="43">
        <v>-3.5582895107013846E-2</v>
      </c>
      <c r="N113" s="30">
        <v>0</v>
      </c>
      <c r="Q113" s="45">
        <f t="shared" si="6"/>
        <v>4.4596276233079317E-2</v>
      </c>
      <c r="R113" s="45">
        <f t="shared" si="7"/>
        <v>4.1256939928975139E-2</v>
      </c>
      <c r="S113" s="45">
        <f t="shared" si="8"/>
        <v>8.1632643131254706E-2</v>
      </c>
      <c r="T113" s="45">
        <f t="shared" si="9"/>
        <v>4.3117037568930705E-2</v>
      </c>
    </row>
    <row r="114" spans="10:20">
      <c r="J114" s="47">
        <v>4.4596276233079317E-2</v>
      </c>
      <c r="K114" s="43">
        <v>4.1256939928975139E-2</v>
      </c>
      <c r="L114" s="43">
        <v>8.1632643131254706E-2</v>
      </c>
      <c r="M114" s="43">
        <v>4.3117037568930705E-2</v>
      </c>
      <c r="N114" s="30">
        <v>0</v>
      </c>
      <c r="Q114" s="45">
        <f t="shared" si="6"/>
        <v>1.4646345811531996E-2</v>
      </c>
      <c r="R114" s="45">
        <f t="shared" si="7"/>
        <v>6.6326535260315816E-2</v>
      </c>
      <c r="S114" s="45">
        <f t="shared" si="8"/>
        <v>8.0862584272291232E-2</v>
      </c>
      <c r="T114" s="45">
        <f t="shared" si="9"/>
        <v>6.9321573583585039E-3</v>
      </c>
    </row>
    <row r="115" spans="10:20">
      <c r="J115" s="47">
        <v>1.4646345811531996E-2</v>
      </c>
      <c r="K115" s="43">
        <v>6.6326535260315816E-2</v>
      </c>
      <c r="L115" s="43">
        <v>8.0862584272291232E-2</v>
      </c>
      <c r="M115" s="43">
        <v>6.9321573583585039E-3</v>
      </c>
      <c r="N115" s="30">
        <v>0</v>
      </c>
      <c r="Q115" s="45">
        <f t="shared" si="6"/>
        <v>4.8423457638778943E-2</v>
      </c>
      <c r="R115" s="45">
        <f t="shared" si="7"/>
        <v>3.1151353497106026E-2</v>
      </c>
      <c r="S115" s="45">
        <f t="shared" si="8"/>
        <v>1.9950104523650408E-2</v>
      </c>
      <c r="T115" s="45">
        <f t="shared" si="9"/>
        <v>6.2007968638175814E-3</v>
      </c>
    </row>
    <row r="116" spans="10:20">
      <c r="J116" s="47">
        <v>4.8423457638778943E-2</v>
      </c>
      <c r="K116" s="43">
        <v>3.1151353497106026E-2</v>
      </c>
      <c r="L116" s="43">
        <v>1.9950104523650408E-2</v>
      </c>
      <c r="M116" s="43">
        <v>6.2007968638175814E-3</v>
      </c>
      <c r="N116" s="30">
        <v>0</v>
      </c>
      <c r="Q116" s="45">
        <f t="shared" si="6"/>
        <v>-1.835762928996049E-2</v>
      </c>
      <c r="R116" s="45">
        <f t="shared" si="7"/>
        <v>1.6783312015870707E-3</v>
      </c>
      <c r="S116" s="45">
        <f t="shared" si="8"/>
        <v>-2.200492646215289E-2</v>
      </c>
      <c r="T116" s="45">
        <f t="shared" si="9"/>
        <v>2.1030282120013677E-2</v>
      </c>
    </row>
    <row r="117" spans="10:20">
      <c r="J117" s="47">
        <v>-1.835762928996049E-2</v>
      </c>
      <c r="K117" s="43">
        <v>1.6783312015870707E-3</v>
      </c>
      <c r="L117" s="43">
        <v>-2.200492646215289E-2</v>
      </c>
      <c r="M117" s="43">
        <v>2.1030282120013677E-2</v>
      </c>
      <c r="N117" s="30">
        <v>0</v>
      </c>
      <c r="Q117" s="45">
        <f t="shared" si="6"/>
        <v>1.4921071093238441E-3</v>
      </c>
      <c r="R117" s="45">
        <f t="shared" si="7"/>
        <v>3.1145315302816508E-2</v>
      </c>
      <c r="S117" s="45">
        <f t="shared" si="8"/>
        <v>4.7500014305114746E-2</v>
      </c>
      <c r="T117" s="45">
        <f t="shared" si="9"/>
        <v>1.9058313448431896E-2</v>
      </c>
    </row>
    <row r="118" spans="10:20">
      <c r="J118" s="47">
        <v>1.4921071093238441E-3</v>
      </c>
      <c r="K118" s="43">
        <v>3.1145315302816508E-2</v>
      </c>
      <c r="L118" s="43">
        <v>4.7500014305114746E-2</v>
      </c>
      <c r="M118" s="43">
        <v>1.9058313448431896E-2</v>
      </c>
      <c r="N118" s="30">
        <v>0</v>
      </c>
      <c r="Q118" s="45">
        <f t="shared" si="6"/>
        <v>-1.728245787142773E-2</v>
      </c>
      <c r="R118" s="45">
        <f t="shared" si="7"/>
        <v>-4.3299620433621171E-2</v>
      </c>
      <c r="S118" s="45">
        <f t="shared" si="8"/>
        <v>-6.6825767915505818E-2</v>
      </c>
      <c r="T118" s="45">
        <f t="shared" si="9"/>
        <v>-1.5079863077291922E-2</v>
      </c>
    </row>
    <row r="119" spans="10:20">
      <c r="J119" s="47">
        <v>-1.728245787142773E-2</v>
      </c>
      <c r="K119" s="43">
        <v>-4.3299620433621171E-2</v>
      </c>
      <c r="L119" s="43">
        <v>-6.6825767915505818E-2</v>
      </c>
      <c r="M119" s="43">
        <v>-1.5079863077291922E-2</v>
      </c>
      <c r="N119" s="30">
        <v>0</v>
      </c>
      <c r="Q119" s="45">
        <f t="shared" si="6"/>
        <v>5.2556764729650785E-3</v>
      </c>
      <c r="R119" s="45">
        <f t="shared" si="7"/>
        <v>3.6367340915417615E-2</v>
      </c>
      <c r="S119" s="45">
        <f t="shared" si="8"/>
        <v>6.6496159784103753E-2</v>
      </c>
      <c r="T119" s="45">
        <f t="shared" si="9"/>
        <v>3.7655321727690261E-2</v>
      </c>
    </row>
    <row r="120" spans="10:20">
      <c r="J120" s="47">
        <v>5.2556764729650785E-3</v>
      </c>
      <c r="K120" s="43">
        <v>3.6367340915417615E-2</v>
      </c>
      <c r="L120" s="43">
        <v>6.6496159784103753E-2</v>
      </c>
      <c r="M120" s="43">
        <v>3.7655321727690261E-2</v>
      </c>
      <c r="N120" s="30">
        <v>0</v>
      </c>
      <c r="Q120" s="45">
        <f t="shared" si="6"/>
        <v>-5.4393686733498404E-2</v>
      </c>
      <c r="R120" s="45">
        <f t="shared" si="7"/>
        <v>2.7571511504880922E-2</v>
      </c>
      <c r="S120" s="45">
        <f t="shared" si="8"/>
        <v>-0.18225419102119078</v>
      </c>
      <c r="T120" s="45">
        <f t="shared" si="9"/>
        <v>-1.5513859147336717E-2</v>
      </c>
    </row>
    <row r="121" spans="10:20">
      <c r="J121" s="47">
        <v>-5.4393686733498404E-2</v>
      </c>
      <c r="K121" s="43">
        <v>2.7571511504880922E-2</v>
      </c>
      <c r="L121" s="43">
        <v>-0.18225419102119078</v>
      </c>
      <c r="M121" s="43">
        <v>-1.5513859147336717E-2</v>
      </c>
      <c r="N121" s="30">
        <v>0</v>
      </c>
      <c r="Q121" s="45">
        <f t="shared" si="6"/>
        <v>2.8282785182377812E-2</v>
      </c>
      <c r="R121" s="45">
        <f t="shared" si="7"/>
        <v>1.1164297610386799E-2</v>
      </c>
      <c r="S121" s="45">
        <f t="shared" si="8"/>
        <v>-0.17888566514971393</v>
      </c>
      <c r="T121" s="45">
        <f t="shared" si="9"/>
        <v>2.3201456175308888E-2</v>
      </c>
    </row>
    <row r="122" spans="10:20">
      <c r="J122" s="47">
        <v>2.8282785182377812E-2</v>
      </c>
      <c r="K122" s="43">
        <v>1.1164297610386799E-2</v>
      </c>
      <c r="L122" s="43">
        <v>-0.17888566514971393</v>
      </c>
      <c r="M122" s="43">
        <v>2.3201456175308888E-2</v>
      </c>
      <c r="N122" s="30">
        <v>0</v>
      </c>
      <c r="Q122" s="45">
        <f t="shared" si="6"/>
        <v>-6.3798968331661793E-2</v>
      </c>
      <c r="R122" s="45">
        <f t="shared" si="7"/>
        <v>4.3607462054769111E-3</v>
      </c>
      <c r="S122" s="45">
        <f t="shared" si="8"/>
        <v>-3.5714252262698792E-3</v>
      </c>
      <c r="T122" s="45">
        <f t="shared" si="9"/>
        <v>2.4533584400783015E-2</v>
      </c>
    </row>
    <row r="123" spans="10:20">
      <c r="J123" s="47">
        <v>-6.3798968331661793E-2</v>
      </c>
      <c r="K123" s="43">
        <v>4.3607462054769111E-3</v>
      </c>
      <c r="L123" s="43">
        <v>-3.5714252262698792E-3</v>
      </c>
      <c r="M123" s="43">
        <v>2.4533584400783015E-2</v>
      </c>
      <c r="N123" s="30">
        <v>0</v>
      </c>
      <c r="Q123" s="45">
        <f t="shared" si="6"/>
        <v>2.1095604300875207E-2</v>
      </c>
      <c r="R123" s="45">
        <f t="shared" si="7"/>
        <v>-3.399538388153147E-2</v>
      </c>
      <c r="S123" s="45">
        <f t="shared" si="8"/>
        <v>-4.3010712257996596E-2</v>
      </c>
      <c r="T123" s="45">
        <f t="shared" si="9"/>
        <v>-4.1885120625277938E-3</v>
      </c>
    </row>
    <row r="124" spans="10:20">
      <c r="J124" s="47">
        <v>2.1095604300875207E-2</v>
      </c>
      <c r="K124" s="43">
        <v>-3.399538388153147E-2</v>
      </c>
      <c r="L124" s="43">
        <v>-4.3010712257996596E-2</v>
      </c>
      <c r="M124" s="43">
        <v>-4.1885120625277938E-3</v>
      </c>
      <c r="N124" s="30">
        <v>0</v>
      </c>
      <c r="Q124" s="45">
        <f t="shared" si="6"/>
        <v>-5.4407776585573088E-2</v>
      </c>
      <c r="R124" s="45">
        <f t="shared" si="7"/>
        <v>-4.2363969762878824E-2</v>
      </c>
      <c r="S124" s="45">
        <f t="shared" si="8"/>
        <v>-3.7453236027600117E-2</v>
      </c>
      <c r="T124" s="45">
        <f t="shared" si="9"/>
        <v>-3.1040847054252252E-2</v>
      </c>
    </row>
    <row r="125" spans="10:20">
      <c r="J125" s="47">
        <v>-5.4407776585573088E-2</v>
      </c>
      <c r="K125" s="43">
        <v>-4.2363969762878824E-2</v>
      </c>
      <c r="L125" s="43">
        <v>-3.7453236027600117E-2</v>
      </c>
      <c r="M125" s="43">
        <v>-3.1040847054252252E-2</v>
      </c>
      <c r="N125" s="30">
        <v>0</v>
      </c>
      <c r="Q125" s="45">
        <f t="shared" si="6"/>
        <v>1.2811745253271991E-2</v>
      </c>
      <c r="R125" s="45">
        <f t="shared" si="7"/>
        <v>2.3666893958729347E-2</v>
      </c>
      <c r="S125" s="45">
        <f t="shared" si="8"/>
        <v>0.21011672213223029</v>
      </c>
      <c r="T125" s="45">
        <f t="shared" si="9"/>
        <v>5.4892505726845675E-2</v>
      </c>
    </row>
    <row r="126" spans="10:20">
      <c r="J126" s="47">
        <v>1.2811745253271991E-2</v>
      </c>
      <c r="K126" s="43">
        <v>2.3666893958729347E-2</v>
      </c>
      <c r="L126" s="43">
        <v>0.21011672213223029</v>
      </c>
      <c r="M126" s="43">
        <v>5.4892505726845675E-2</v>
      </c>
      <c r="N126" s="30">
        <v>0</v>
      </c>
      <c r="Q126" s="45">
        <f t="shared" si="6"/>
        <v>-3.9981938998450255E-2</v>
      </c>
      <c r="R126" s="45">
        <f t="shared" si="7"/>
        <v>-1.8632363889438605E-2</v>
      </c>
      <c r="S126" s="45">
        <f t="shared" si="8"/>
        <v>-0.13826361506207507</v>
      </c>
      <c r="T126" s="45">
        <f t="shared" si="9"/>
        <v>-1.7396056070325572E-2</v>
      </c>
    </row>
    <row r="127" spans="10:20">
      <c r="J127" s="47">
        <v>-3.9981938998450255E-2</v>
      </c>
      <c r="K127" s="43">
        <v>-1.8632363889438605E-2</v>
      </c>
      <c r="L127" s="43">
        <v>-0.13826361506207507</v>
      </c>
      <c r="M127" s="43">
        <v>-1.7396056070325572E-2</v>
      </c>
      <c r="N127" s="30">
        <v>0</v>
      </c>
      <c r="Q127" s="45">
        <f t="shared" si="6"/>
        <v>2.7882385253906249E-2</v>
      </c>
      <c r="R127" s="45">
        <f t="shared" si="7"/>
        <v>-1.3916516372900846E-2</v>
      </c>
      <c r="S127" s="45">
        <f t="shared" si="8"/>
        <v>-0.15671644247462466</v>
      </c>
      <c r="T127" s="45">
        <f t="shared" si="9"/>
        <v>8.5207627098153882E-3</v>
      </c>
    </row>
    <row r="128" spans="10:20">
      <c r="J128" s="47">
        <v>2.7882385253906249E-2</v>
      </c>
      <c r="K128" s="43">
        <v>-1.3916516372900846E-2</v>
      </c>
      <c r="L128" s="43">
        <v>-0.15671644247462466</v>
      </c>
      <c r="M128" s="43">
        <v>8.5207627098153882E-3</v>
      </c>
      <c r="N128" s="30">
        <v>0</v>
      </c>
      <c r="Q128" s="45">
        <f t="shared" si="6"/>
        <v>-2.4836966122502906E-2</v>
      </c>
      <c r="R128" s="45">
        <f t="shared" si="7"/>
        <v>9.4758313540745202E-3</v>
      </c>
      <c r="S128" s="45">
        <f t="shared" si="8"/>
        <v>8.8495491198714825E-3</v>
      </c>
      <c r="T128" s="45">
        <f t="shared" si="9"/>
        <v>1.0491438545008114E-2</v>
      </c>
    </row>
    <row r="129" spans="10:20">
      <c r="J129" s="47">
        <v>-2.4836966122502906E-2</v>
      </c>
      <c r="K129" s="43">
        <v>9.4758313540745202E-3</v>
      </c>
      <c r="L129" s="43">
        <v>8.8495491198714825E-3</v>
      </c>
      <c r="M129" s="43">
        <v>1.0491438545008114E-2</v>
      </c>
      <c r="N129" s="30">
        <v>0</v>
      </c>
      <c r="Q129" s="45">
        <f t="shared" si="6"/>
        <v>-2.3474179244571711E-2</v>
      </c>
      <c r="R129" s="45">
        <f t="shared" si="7"/>
        <v>-2.6762535665172126E-2</v>
      </c>
      <c r="S129" s="45">
        <f t="shared" si="8"/>
        <v>5.2631633983975551E-2</v>
      </c>
      <c r="T129" s="45">
        <f t="shared" si="9"/>
        <v>-2.10117728564716E-2</v>
      </c>
    </row>
    <row r="130" spans="10:20">
      <c r="J130" s="47">
        <v>-2.3474179244571711E-2</v>
      </c>
      <c r="K130" s="43">
        <v>-2.6762535665172126E-2</v>
      </c>
      <c r="L130" s="43">
        <v>5.2631633983975551E-2</v>
      </c>
      <c r="M130" s="43">
        <v>-2.10117728564716E-2</v>
      </c>
      <c r="N130" s="30">
        <v>0</v>
      </c>
      <c r="Q130" s="45">
        <f t="shared" si="6"/>
        <v>-4.7956706852425313E-2</v>
      </c>
      <c r="R130" s="45">
        <f t="shared" si="7"/>
        <v>2.8216704554003331E-2</v>
      </c>
      <c r="S130" s="45">
        <f t="shared" si="8"/>
        <v>-0.19583338714307996</v>
      </c>
      <c r="T130" s="45">
        <f t="shared" si="9"/>
        <v>1.9742039930008559E-2</v>
      </c>
    </row>
    <row r="131" spans="10:20">
      <c r="J131" s="47">
        <v>-4.7956706852425313E-2</v>
      </c>
      <c r="K131" s="43">
        <v>2.8216704554003331E-2</v>
      </c>
      <c r="L131" s="43">
        <v>-0.19583338714307996</v>
      </c>
      <c r="M131" s="43">
        <v>1.9742039930008559E-2</v>
      </c>
      <c r="N131" s="30">
        <v>0</v>
      </c>
      <c r="Q131" s="45">
        <f t="shared" si="6"/>
        <v>-5.0119950341993562E-2</v>
      </c>
      <c r="R131" s="45">
        <f t="shared" si="7"/>
        <v>-6.2169402100158165E-2</v>
      </c>
      <c r="S131" s="45">
        <f t="shared" si="8"/>
        <v>-6.217616996354481E-2</v>
      </c>
      <c r="T131" s="45">
        <f t="shared" si="9"/>
        <v>-6.258080462392579E-2</v>
      </c>
    </row>
    <row r="132" spans="10:20">
      <c r="J132" s="47">
        <v>-5.0119950341993562E-2</v>
      </c>
      <c r="K132" s="43">
        <v>-6.2169402100158165E-2</v>
      </c>
      <c r="L132" s="43">
        <v>-6.217616996354481E-2</v>
      </c>
      <c r="M132" s="43">
        <v>-6.258080462392579E-2</v>
      </c>
      <c r="N132" s="30">
        <v>0</v>
      </c>
      <c r="Q132" s="45">
        <f t="shared" ref="Q132:Q195" si="10">J133-N133</f>
        <v>-1.1828806684177229E-2</v>
      </c>
      <c r="R132" s="45">
        <f t="shared" ref="R132:R195" si="11">K133-N133</f>
        <v>-6.703605664066194E-3</v>
      </c>
      <c r="S132" s="45">
        <f t="shared" ref="S132:S195" si="12">L133-N133</f>
        <v>-4.9723711057748671E-2</v>
      </c>
      <c r="T132" s="45">
        <f t="shared" ref="T132:T195" si="13">M133-N133</f>
        <v>-2.6442819620927094E-2</v>
      </c>
    </row>
    <row r="133" spans="10:20">
      <c r="J133" s="47">
        <v>-1.1828806684177229E-2</v>
      </c>
      <c r="K133" s="43">
        <v>-6.703605664066194E-3</v>
      </c>
      <c r="L133" s="43">
        <v>-4.9723711057748671E-2</v>
      </c>
      <c r="M133" s="43">
        <v>-2.6442819620927094E-2</v>
      </c>
      <c r="N133" s="30">
        <v>0</v>
      </c>
      <c r="Q133" s="45">
        <f t="shared" si="10"/>
        <v>0.11284464777183195</v>
      </c>
      <c r="R133" s="45">
        <f t="shared" si="11"/>
        <v>8.2271027645542658E-2</v>
      </c>
      <c r="S133" s="45">
        <f t="shared" si="12"/>
        <v>0.23255805249727518</v>
      </c>
      <c r="T133" s="45">
        <f t="shared" si="13"/>
        <v>8.2983078389400333E-2</v>
      </c>
    </row>
    <row r="134" spans="10:20">
      <c r="J134" s="47">
        <v>0.11284464777183195</v>
      </c>
      <c r="K134" s="43">
        <v>8.2271027645542658E-2</v>
      </c>
      <c r="L134" s="43">
        <v>0.23255805249727518</v>
      </c>
      <c r="M134" s="43">
        <v>8.2983078389400333E-2</v>
      </c>
      <c r="N134" s="30">
        <v>0</v>
      </c>
      <c r="Q134" s="45">
        <f t="shared" si="10"/>
        <v>-1.3052867168770714E-2</v>
      </c>
      <c r="R134" s="45">
        <f t="shared" si="11"/>
        <v>2.0785814808471459E-3</v>
      </c>
      <c r="S134" s="45">
        <f t="shared" si="12"/>
        <v>0.11320755777939623</v>
      </c>
      <c r="T134" s="45">
        <f t="shared" si="13"/>
        <v>5.0496306555847248E-4</v>
      </c>
    </row>
    <row r="135" spans="10:20">
      <c r="J135" s="47">
        <v>-1.3052867168770714E-2</v>
      </c>
      <c r="K135" s="43">
        <v>2.0785814808471459E-3</v>
      </c>
      <c r="L135" s="43">
        <v>0.11320755777939623</v>
      </c>
      <c r="M135" s="43">
        <v>5.0496306555847248E-4</v>
      </c>
      <c r="N135" s="30">
        <v>0</v>
      </c>
      <c r="Q135" s="45">
        <f t="shared" si="10"/>
        <v>-4.5532360366016593E-2</v>
      </c>
      <c r="R135" s="45">
        <f t="shared" si="11"/>
        <v>1.4518761242222808E-2</v>
      </c>
      <c r="S135" s="45">
        <f t="shared" si="12"/>
        <v>0.21600170048018111</v>
      </c>
      <c r="T135" s="45">
        <f t="shared" si="13"/>
        <v>-1.7630198374358762E-2</v>
      </c>
    </row>
    <row r="136" spans="10:20">
      <c r="J136" s="47">
        <v>-4.543236036601659E-2</v>
      </c>
      <c r="K136" s="43">
        <v>1.4618761242222807E-2</v>
      </c>
      <c r="L136" s="43">
        <v>0.2161017004801811</v>
      </c>
      <c r="M136" s="43">
        <v>-1.7530198374358763E-2</v>
      </c>
      <c r="N136" s="30">
        <v>1E-4</v>
      </c>
      <c r="Q136" s="45">
        <f t="shared" si="10"/>
        <v>-1.3828541120725314E-3</v>
      </c>
      <c r="R136" s="45">
        <f t="shared" si="11"/>
        <v>1.6644559971407596E-2</v>
      </c>
      <c r="S136" s="45">
        <f t="shared" si="12"/>
        <v>-0.23354943017126595</v>
      </c>
      <c r="T136" s="45">
        <f t="shared" si="13"/>
        <v>-5.0835344481736336E-2</v>
      </c>
    </row>
    <row r="137" spans="10:20">
      <c r="J137" s="47">
        <v>-1.2828541120725313E-3</v>
      </c>
      <c r="K137" s="43">
        <v>1.6744559971407596E-2</v>
      </c>
      <c r="L137" s="43">
        <v>-0.23344943017126596</v>
      </c>
      <c r="M137" s="43">
        <v>-5.0735344481736333E-2</v>
      </c>
      <c r="N137" s="30">
        <v>1E-4</v>
      </c>
      <c r="Q137" s="45">
        <f t="shared" si="10"/>
        <v>2.9344034641469903E-2</v>
      </c>
      <c r="R137" s="45">
        <f t="shared" si="11"/>
        <v>7.1726218409310727E-3</v>
      </c>
      <c r="S137" s="45">
        <f t="shared" si="12"/>
        <v>-2.7472700672307865E-2</v>
      </c>
      <c r="T137" s="45">
        <f t="shared" si="13"/>
        <v>-4.3283552550199772E-3</v>
      </c>
    </row>
    <row r="138" spans="10:20">
      <c r="J138" s="47">
        <v>2.9544034641469902E-2</v>
      </c>
      <c r="K138" s="43">
        <v>7.3726218409310724E-3</v>
      </c>
      <c r="L138" s="43">
        <v>-2.7272700672307866E-2</v>
      </c>
      <c r="M138" s="43">
        <v>-4.1283552550199776E-3</v>
      </c>
      <c r="N138" s="30">
        <v>2.0000000000000001E-4</v>
      </c>
      <c r="Q138" s="45">
        <f t="shared" si="10"/>
        <v>4.2719460343378909E-2</v>
      </c>
      <c r="R138" s="45">
        <f t="shared" si="11"/>
        <v>2.8219331715504292E-2</v>
      </c>
      <c r="S138" s="45">
        <f t="shared" si="12"/>
        <v>0.33157559108586404</v>
      </c>
      <c r="T138" s="45">
        <f t="shared" si="13"/>
        <v>6.5791108718941088E-2</v>
      </c>
    </row>
    <row r="139" spans="10:20">
      <c r="J139" s="47">
        <v>4.2919460343378908E-2</v>
      </c>
      <c r="K139" s="43">
        <v>2.841933171550429E-2</v>
      </c>
      <c r="L139" s="43">
        <v>0.33177559108586402</v>
      </c>
      <c r="M139" s="43">
        <v>6.5991108718941094E-2</v>
      </c>
      <c r="N139" s="30">
        <v>2.0000000000000001E-4</v>
      </c>
      <c r="Q139" s="45">
        <f t="shared" si="10"/>
        <v>5.7442832859390225E-2</v>
      </c>
      <c r="R139" s="45">
        <f t="shared" si="11"/>
        <v>3.5759565547571245E-2</v>
      </c>
      <c r="S139" s="45">
        <f t="shared" si="12"/>
        <v>0.24551406003764839</v>
      </c>
      <c r="T139" s="45">
        <f t="shared" si="13"/>
        <v>2.5993698233759302E-3</v>
      </c>
    </row>
    <row r="140" spans="10:20">
      <c r="J140" s="47">
        <v>5.7542832859390228E-2</v>
      </c>
      <c r="K140" s="43">
        <v>3.5859565547571248E-2</v>
      </c>
      <c r="L140" s="43">
        <v>0.24561406003764838</v>
      </c>
      <c r="M140" s="43">
        <v>2.69936982337593E-3</v>
      </c>
      <c r="N140" s="30">
        <v>1E-4</v>
      </c>
      <c r="Q140" s="45">
        <f t="shared" si="10"/>
        <v>6.9135193041370904E-3</v>
      </c>
      <c r="R140" s="45">
        <f t="shared" si="11"/>
        <v>5.3425463988754675E-3</v>
      </c>
      <c r="S140" s="45">
        <f t="shared" si="12"/>
        <v>0.28722400930866737</v>
      </c>
      <c r="T140" s="45">
        <f t="shared" si="13"/>
        <v>1.5229492083474561E-2</v>
      </c>
    </row>
    <row r="141" spans="10:20">
      <c r="J141" s="47">
        <v>7.0135193041370907E-3</v>
      </c>
      <c r="K141" s="43">
        <v>5.4425463988754677E-3</v>
      </c>
      <c r="L141" s="43">
        <v>0.28732400930866736</v>
      </c>
      <c r="M141" s="43">
        <v>1.5329492083474561E-2</v>
      </c>
      <c r="N141" s="30">
        <v>1E-4</v>
      </c>
      <c r="Q141" s="45">
        <f t="shared" si="10"/>
        <v>5.2821808567668112E-2</v>
      </c>
      <c r="R141" s="45">
        <f t="shared" si="11"/>
        <v>7.62042987294137E-2</v>
      </c>
      <c r="S141" s="45">
        <f t="shared" si="12"/>
        <v>0.12452640556094359</v>
      </c>
      <c r="T141" s="45">
        <f t="shared" si="13"/>
        <v>7.0607355409733083E-4</v>
      </c>
    </row>
    <row r="142" spans="10:20">
      <c r="J142" s="47">
        <v>5.3021808567668111E-2</v>
      </c>
      <c r="K142" s="43">
        <v>7.6404298729413705E-2</v>
      </c>
      <c r="L142" s="43">
        <v>0.1247264055609436</v>
      </c>
      <c r="M142" s="43">
        <v>9.0607355409733081E-4</v>
      </c>
      <c r="N142" s="30">
        <v>2.0000000000000001E-4</v>
      </c>
      <c r="Q142" s="45">
        <f t="shared" si="10"/>
        <v>-5.1298794801431041E-2</v>
      </c>
      <c r="R142" s="45">
        <f t="shared" si="11"/>
        <v>3.2199012417987158E-2</v>
      </c>
      <c r="S142" s="45">
        <f t="shared" si="12"/>
        <v>0.33443041083789665</v>
      </c>
      <c r="T142" s="45">
        <f t="shared" si="13"/>
        <v>3.5409807228685898E-2</v>
      </c>
    </row>
    <row r="143" spans="10:20">
      <c r="J143" s="47">
        <v>-5.1098794801431043E-2</v>
      </c>
      <c r="K143" s="43">
        <v>3.2399012417987157E-2</v>
      </c>
      <c r="L143" s="43">
        <v>0.33463041083789663</v>
      </c>
      <c r="M143" s="43">
        <v>3.5609807228685897E-2</v>
      </c>
      <c r="N143" s="30">
        <v>2.0000000000000001E-4</v>
      </c>
      <c r="Q143" s="45">
        <f t="shared" si="10"/>
        <v>-2.0548483650279864E-2</v>
      </c>
      <c r="R143" s="45">
        <f t="shared" si="11"/>
        <v>-4.7233513224902886E-2</v>
      </c>
      <c r="S143" s="45">
        <f t="shared" si="12"/>
        <v>7.851719407334519E-2</v>
      </c>
      <c r="T143" s="45">
        <f t="shared" si="13"/>
        <v>-1.4191755612809275E-3</v>
      </c>
    </row>
    <row r="144" spans="10:20">
      <c r="J144" s="47">
        <v>-2.0348483650279865E-2</v>
      </c>
      <c r="K144" s="43">
        <v>-4.7033513224902887E-2</v>
      </c>
      <c r="L144" s="43">
        <v>7.8717194073345195E-2</v>
      </c>
      <c r="M144" s="43">
        <v>-1.2191755612809274E-3</v>
      </c>
      <c r="N144" s="30">
        <v>2.0000000000000001E-4</v>
      </c>
      <c r="Q144" s="45">
        <f t="shared" si="10"/>
        <v>1.4066030597777162E-3</v>
      </c>
      <c r="R144" s="45">
        <f t="shared" si="11"/>
        <v>-1.0339091013935953E-2</v>
      </c>
      <c r="S144" s="45">
        <f t="shared" si="12"/>
        <v>-6.6416248870330902E-2</v>
      </c>
      <c r="T144" s="45">
        <f t="shared" si="13"/>
        <v>-1.4344825997834264E-3</v>
      </c>
    </row>
    <row r="145" spans="10:20">
      <c r="J145" s="47">
        <v>1.6066030597777163E-3</v>
      </c>
      <c r="K145" s="43">
        <v>-1.0139091013935952E-2</v>
      </c>
      <c r="L145" s="43">
        <v>-6.6216248870330896E-2</v>
      </c>
      <c r="M145" s="43">
        <v>-1.2344825997834263E-3</v>
      </c>
      <c r="N145" s="30">
        <v>2.0000000000000001E-4</v>
      </c>
      <c r="Q145" s="45">
        <f t="shared" si="10"/>
        <v>-4.5571209210098912E-2</v>
      </c>
      <c r="R145" s="45">
        <f t="shared" si="11"/>
        <v>-1.83156305714425E-2</v>
      </c>
      <c r="S145" s="45">
        <f t="shared" si="12"/>
        <v>4.6109721957696054E-2</v>
      </c>
      <c r="T145" s="45">
        <f t="shared" si="13"/>
        <v>-1.9625625037472248E-2</v>
      </c>
    </row>
    <row r="146" spans="10:20">
      <c r="J146" s="47">
        <v>-4.5371209210098913E-2</v>
      </c>
      <c r="K146" s="43">
        <v>-1.8115630571442502E-2</v>
      </c>
      <c r="L146" s="43">
        <v>4.6309721957696053E-2</v>
      </c>
      <c r="M146" s="43">
        <v>-1.9425625037472249E-2</v>
      </c>
      <c r="N146" s="30">
        <v>2.0000000000000001E-4</v>
      </c>
      <c r="Q146" s="45">
        <f t="shared" si="10"/>
        <v>4.7667683287459593E-2</v>
      </c>
      <c r="R146" s="45">
        <f t="shared" si="11"/>
        <v>-4.0534476234063962E-2</v>
      </c>
      <c r="S146" s="45">
        <f t="shared" si="12"/>
        <v>0.23226512087228357</v>
      </c>
      <c r="T146" s="45">
        <f t="shared" si="13"/>
        <v>3.4074446769983155E-2</v>
      </c>
    </row>
    <row r="147" spans="10:20">
      <c r="J147" s="47">
        <v>4.7767683287459596E-2</v>
      </c>
      <c r="K147" s="43">
        <v>-4.043447623406396E-2</v>
      </c>
      <c r="L147" s="43">
        <v>0.23236512087228356</v>
      </c>
      <c r="M147" s="43">
        <v>3.4174446769983158E-2</v>
      </c>
      <c r="N147" s="30">
        <v>1E-4</v>
      </c>
      <c r="Q147" s="45">
        <f t="shared" si="10"/>
        <v>3.3606059347074162E-2</v>
      </c>
      <c r="R147" s="45">
        <f t="shared" si="11"/>
        <v>3.4830241918291587E-2</v>
      </c>
      <c r="S147" s="45">
        <f t="shared" si="12"/>
        <v>0.27242731164878409</v>
      </c>
      <c r="T147" s="45">
        <f t="shared" si="13"/>
        <v>1.7900754044233046E-2</v>
      </c>
    </row>
    <row r="148" spans="10:20">
      <c r="J148" s="47">
        <v>3.3906059347074163E-2</v>
      </c>
      <c r="K148" s="43">
        <v>3.5130241918291588E-2</v>
      </c>
      <c r="L148" s="43">
        <v>0.27272731164878411</v>
      </c>
      <c r="M148" s="43">
        <v>1.8200754044233047E-2</v>
      </c>
      <c r="N148" s="30">
        <v>2.9999999999999997E-4</v>
      </c>
      <c r="Q148" s="45">
        <f t="shared" si="10"/>
        <v>-7.0973926388431849E-2</v>
      </c>
      <c r="R148" s="45">
        <f t="shared" si="11"/>
        <v>-1.7412404305598279E-2</v>
      </c>
      <c r="S148" s="45">
        <f t="shared" si="12"/>
        <v>-8.5937941267791404E-2</v>
      </c>
      <c r="T148" s="45">
        <f t="shared" si="13"/>
        <v>1.7484341374735823E-2</v>
      </c>
    </row>
    <row r="149" spans="10:20">
      <c r="J149" s="47">
        <v>-7.0573926388431851E-2</v>
      </c>
      <c r="K149" s="43">
        <v>-1.7012404305598278E-2</v>
      </c>
      <c r="L149" s="43">
        <v>-8.5537941267791406E-2</v>
      </c>
      <c r="M149" s="43">
        <v>1.7884341374735824E-2</v>
      </c>
      <c r="N149" s="30">
        <v>4.0000000000000002E-4</v>
      </c>
      <c r="Q149" s="45">
        <f t="shared" si="10"/>
        <v>-3.1035352408183978E-2</v>
      </c>
      <c r="R149" s="45">
        <f t="shared" si="11"/>
        <v>7.8716989708367824E-2</v>
      </c>
      <c r="S149" s="45">
        <f t="shared" si="12"/>
        <v>0.39400696217205261</v>
      </c>
      <c r="T149" s="45">
        <f t="shared" si="13"/>
        <v>3.6798260541408737E-2</v>
      </c>
    </row>
    <row r="150" spans="10:20">
      <c r="J150" s="47">
        <v>-3.0635352408183977E-2</v>
      </c>
      <c r="K150" s="43">
        <v>7.9116989708367821E-2</v>
      </c>
      <c r="L150" s="43">
        <v>0.39440696217205262</v>
      </c>
      <c r="M150" s="43">
        <v>3.7198260541408734E-2</v>
      </c>
      <c r="N150" s="30">
        <v>4.0000000000000002E-4</v>
      </c>
      <c r="Q150" s="45">
        <f t="shared" si="10"/>
        <v>8.1850275946344676E-3</v>
      </c>
      <c r="R150" s="45">
        <f t="shared" si="11"/>
        <v>1.8847401888676261E-2</v>
      </c>
      <c r="S150" s="45">
        <f t="shared" si="12"/>
        <v>5.9240769260346425E-3</v>
      </c>
      <c r="T150" s="45">
        <f t="shared" si="13"/>
        <v>-6.8923017041525557E-4</v>
      </c>
    </row>
    <row r="151" spans="10:20">
      <c r="J151" s="47">
        <v>8.4850275946344676E-3</v>
      </c>
      <c r="K151" s="43">
        <v>1.9147401888676262E-2</v>
      </c>
      <c r="L151" s="43">
        <v>6.2240769260346425E-3</v>
      </c>
      <c r="M151" s="43">
        <v>-3.8923017041525565E-4</v>
      </c>
      <c r="N151" s="30">
        <v>2.9999999999999997E-4</v>
      </c>
      <c r="Q151" s="45">
        <f t="shared" si="10"/>
        <v>-4.8897159001843396E-3</v>
      </c>
      <c r="R151" s="45">
        <f t="shared" si="11"/>
        <v>-9.17123086786183E-3</v>
      </c>
      <c r="S151" s="45">
        <f t="shared" si="12"/>
        <v>-8.6410651794765883E-2</v>
      </c>
      <c r="T151" s="45">
        <f t="shared" si="13"/>
        <v>8.5912169025529894E-3</v>
      </c>
    </row>
    <row r="152" spans="10:20">
      <c r="J152" s="47">
        <v>-4.3897159001843392E-3</v>
      </c>
      <c r="K152" s="43">
        <v>-8.6712308678618295E-3</v>
      </c>
      <c r="L152" s="43">
        <v>-8.5910651794765883E-2</v>
      </c>
      <c r="M152" s="43">
        <v>9.0912169025529899E-3</v>
      </c>
      <c r="N152" s="30">
        <v>5.0000000000000001E-4</v>
      </c>
      <c r="Q152" s="45">
        <f t="shared" si="10"/>
        <v>-1.4684525467086661E-2</v>
      </c>
      <c r="R152" s="45">
        <f t="shared" si="11"/>
        <v>3.8113847347847736E-2</v>
      </c>
      <c r="S152" s="45">
        <f t="shared" si="12"/>
        <v>-0.15924666015730177</v>
      </c>
      <c r="T152" s="45">
        <f t="shared" si="13"/>
        <v>1.0976210049492719E-2</v>
      </c>
    </row>
    <row r="153" spans="10:20">
      <c r="J153" s="47">
        <v>-1.4084525467086662E-2</v>
      </c>
      <c r="K153" s="43">
        <v>3.8713847347847739E-2</v>
      </c>
      <c r="L153" s="43">
        <v>-0.15864666015730178</v>
      </c>
      <c r="M153" s="43">
        <v>1.1576210049492719E-2</v>
      </c>
      <c r="N153" s="30">
        <v>5.9999999999999995E-4</v>
      </c>
      <c r="Q153" s="45">
        <f t="shared" si="10"/>
        <v>2.2571845581812891E-3</v>
      </c>
      <c r="R153" s="45">
        <f t="shared" si="11"/>
        <v>3.0900922309027776E-2</v>
      </c>
      <c r="S153" s="45">
        <f t="shared" si="12"/>
        <v>0.11468150225442991</v>
      </c>
      <c r="T153" s="45">
        <f t="shared" si="13"/>
        <v>4.2138319927024666E-3</v>
      </c>
    </row>
    <row r="154" spans="10:20">
      <c r="J154" s="47">
        <v>2.857184558181289E-3</v>
      </c>
      <c r="K154" s="43">
        <v>3.1500922309027776E-2</v>
      </c>
      <c r="L154" s="43">
        <v>0.11528150225442992</v>
      </c>
      <c r="M154" s="43">
        <v>4.8138319927024664E-3</v>
      </c>
      <c r="N154" s="30">
        <v>5.9999999999999995E-4</v>
      </c>
      <c r="Q154" s="45">
        <f t="shared" si="10"/>
        <v>-9.2470384332269222E-3</v>
      </c>
      <c r="R154" s="45">
        <f t="shared" si="11"/>
        <v>2.5504947947214665E-3</v>
      </c>
      <c r="S154" s="45">
        <f t="shared" si="12"/>
        <v>8.9844884285983695E-2</v>
      </c>
      <c r="T154" s="45">
        <f t="shared" si="13"/>
        <v>1.8648768883515444E-2</v>
      </c>
    </row>
    <row r="155" spans="10:20">
      <c r="J155" s="47">
        <v>-8.5470384332269229E-3</v>
      </c>
      <c r="K155" s="43">
        <v>3.2504947947214666E-3</v>
      </c>
      <c r="L155" s="43">
        <v>9.0544884285983701E-2</v>
      </c>
      <c r="M155" s="43">
        <v>1.9348768883515444E-2</v>
      </c>
      <c r="N155" s="30">
        <v>7.000000000000001E-4</v>
      </c>
      <c r="Q155" s="45">
        <f t="shared" si="10"/>
        <v>-4.725181211939411E-2</v>
      </c>
      <c r="R155" s="45">
        <f t="shared" si="11"/>
        <v>-3.5371767653436942E-3</v>
      </c>
      <c r="S155" s="45">
        <f t="shared" si="12"/>
        <v>-4.5719961209769185E-2</v>
      </c>
      <c r="T155" s="45">
        <f t="shared" si="13"/>
        <v>-3.5350767113305676E-4</v>
      </c>
    </row>
    <row r="156" spans="10:20">
      <c r="J156" s="47">
        <v>-4.6351812119394112E-2</v>
      </c>
      <c r="K156" s="43">
        <v>-2.637176765343694E-3</v>
      </c>
      <c r="L156" s="43">
        <v>-4.4819961209769187E-2</v>
      </c>
      <c r="M156" s="43">
        <v>5.4649232886694321E-4</v>
      </c>
      <c r="N156" s="30">
        <v>8.9999999999999998E-4</v>
      </c>
      <c r="Q156" s="45">
        <f t="shared" si="10"/>
        <v>7.3120717808763586E-2</v>
      </c>
      <c r="R156" s="45">
        <f t="shared" si="11"/>
        <v>-1.8728818443804036E-2</v>
      </c>
      <c r="S156" s="45">
        <f t="shared" si="12"/>
        <v>-2.0130769230769233E-2</v>
      </c>
      <c r="T156" s="45">
        <f t="shared" si="13"/>
        <v>1.8402894827342153E-2</v>
      </c>
    </row>
    <row r="157" spans="10:20">
      <c r="J157" s="47">
        <v>7.4020717808763584E-2</v>
      </c>
      <c r="K157" s="43">
        <v>-1.7828818443804035E-2</v>
      </c>
      <c r="L157" s="43">
        <v>-1.9230769230769232E-2</v>
      </c>
      <c r="M157" s="43">
        <v>1.9302894827342154E-2</v>
      </c>
      <c r="N157" s="30">
        <v>8.9999999999999998E-4</v>
      </c>
      <c r="Q157" s="45">
        <f t="shared" si="10"/>
        <v>1.5811332777368448E-2</v>
      </c>
      <c r="R157" s="45">
        <f t="shared" si="11"/>
        <v>7.1402204080003903E-2</v>
      </c>
      <c r="S157" s="45">
        <f t="shared" si="12"/>
        <v>-0.13933139947629444</v>
      </c>
      <c r="T157" s="45">
        <f t="shared" si="13"/>
        <v>2.1288174774546042E-2</v>
      </c>
    </row>
    <row r="158" spans="10:20">
      <c r="J158" s="47">
        <v>1.671133277736845E-2</v>
      </c>
      <c r="K158" s="43">
        <v>7.2302204080003901E-2</v>
      </c>
      <c r="L158" s="43">
        <v>-0.13843139947629443</v>
      </c>
      <c r="M158" s="43">
        <v>2.2188174774546043E-2</v>
      </c>
      <c r="N158" s="30">
        <v>8.9999999999999998E-4</v>
      </c>
      <c r="Q158" s="45">
        <f t="shared" si="10"/>
        <v>-1.5198267509552305E-3</v>
      </c>
      <c r="R158" s="45">
        <f t="shared" si="11"/>
        <v>-1.3738600455716896E-3</v>
      </c>
      <c r="S158" s="45">
        <f t="shared" si="12"/>
        <v>-9.4480943398798142E-3</v>
      </c>
      <c r="T158" s="45">
        <f t="shared" si="13"/>
        <v>2.7282601368405459E-2</v>
      </c>
    </row>
    <row r="159" spans="10:20">
      <c r="J159" s="47">
        <v>-7.1982675095523042E-4</v>
      </c>
      <c r="K159" s="43">
        <v>-5.7386004557168958E-4</v>
      </c>
      <c r="L159" s="43">
        <v>-8.6480943398798138E-3</v>
      </c>
      <c r="M159" s="43">
        <v>2.8082601368405458E-2</v>
      </c>
      <c r="N159" s="30">
        <v>8.0000000000000004E-4</v>
      </c>
      <c r="Q159" s="45">
        <f t="shared" si="10"/>
        <v>3.3021667700071462E-3</v>
      </c>
      <c r="R159" s="45">
        <f t="shared" si="11"/>
        <v>1.8991056091518129E-3</v>
      </c>
      <c r="S159" s="45">
        <f t="shared" si="12"/>
        <v>-5.6914746659359541E-2</v>
      </c>
      <c r="T159" s="45">
        <f t="shared" si="13"/>
        <v>8.9316198188534989E-3</v>
      </c>
    </row>
    <row r="160" spans="10:20">
      <c r="J160" s="47">
        <v>4.202166770007146E-3</v>
      </c>
      <c r="K160" s="43">
        <v>2.7991056091518128E-3</v>
      </c>
      <c r="L160" s="43">
        <v>-5.6014746659359543E-2</v>
      </c>
      <c r="M160" s="43">
        <v>9.8316198188534987E-3</v>
      </c>
      <c r="N160" s="30">
        <v>8.9999999999999998E-4</v>
      </c>
      <c r="Q160" s="45">
        <f t="shared" si="10"/>
        <v>4.2659011104946867E-2</v>
      </c>
      <c r="R160" s="45">
        <f t="shared" si="11"/>
        <v>-1.2050463540864658E-2</v>
      </c>
      <c r="S160" s="45">
        <f t="shared" si="12"/>
        <v>0.33547588793992522</v>
      </c>
      <c r="T160" s="45">
        <f t="shared" si="13"/>
        <v>5.5078724645703729E-2</v>
      </c>
    </row>
    <row r="161" spans="10:20">
      <c r="J161" s="47">
        <v>4.3759011104946864E-2</v>
      </c>
      <c r="K161" s="43">
        <v>-1.0950463540864657E-2</v>
      </c>
      <c r="L161" s="43">
        <v>0.33657588793992521</v>
      </c>
      <c r="M161" s="43">
        <v>5.6178724645703726E-2</v>
      </c>
      <c r="N161" s="30">
        <v>1.1000000000000001E-3</v>
      </c>
      <c r="Q161" s="45">
        <f t="shared" si="10"/>
        <v>-0.1335170078337187</v>
      </c>
      <c r="R161" s="45">
        <f t="shared" si="11"/>
        <v>-6.1234578564156691E-2</v>
      </c>
      <c r="S161" s="45">
        <f t="shared" si="12"/>
        <v>-0.11973174247405888</v>
      </c>
      <c r="T161" s="45">
        <f t="shared" si="13"/>
        <v>-4.0047379604151841E-2</v>
      </c>
    </row>
    <row r="162" spans="10:20">
      <c r="J162" s="47">
        <v>-0.13241700783371871</v>
      </c>
      <c r="K162" s="43">
        <v>-6.0134578564156695E-2</v>
      </c>
      <c r="L162" s="43">
        <v>-0.11863174247405887</v>
      </c>
      <c r="M162" s="43">
        <v>-3.8947379604151844E-2</v>
      </c>
      <c r="N162" s="30">
        <v>1.1000000000000001E-3</v>
      </c>
      <c r="Q162" s="45">
        <f t="shared" si="10"/>
        <v>-1.6119425472528388E-2</v>
      </c>
      <c r="R162" s="45">
        <f t="shared" si="11"/>
        <v>-1.4520071768468678E-2</v>
      </c>
      <c r="S162" s="45">
        <f t="shared" si="12"/>
        <v>-0.17130731002015631</v>
      </c>
      <c r="T162" s="45">
        <f t="shared" si="13"/>
        <v>-2.8084513768364204E-2</v>
      </c>
    </row>
    <row r="163" spans="10:20">
      <c r="J163" s="47">
        <v>-1.4919425472528386E-2</v>
      </c>
      <c r="K163" s="43">
        <v>-1.3320071768468679E-2</v>
      </c>
      <c r="L163" s="43">
        <v>-0.1701073100201563</v>
      </c>
      <c r="M163" s="43">
        <v>-2.6884513768364204E-2</v>
      </c>
      <c r="N163" s="30">
        <v>1.1999999999999999E-3</v>
      </c>
      <c r="Q163" s="45">
        <f t="shared" si="10"/>
        <v>4.0685502800716866E-2</v>
      </c>
      <c r="R163" s="45">
        <f t="shared" si="11"/>
        <v>-1.43535396939288E-2</v>
      </c>
      <c r="S163" s="45">
        <f t="shared" si="12"/>
        <v>8.1187055517793427E-2</v>
      </c>
      <c r="T163" s="45">
        <f t="shared" si="13"/>
        <v>1.3188010011853778E-3</v>
      </c>
    </row>
    <row r="164" spans="10:20">
      <c r="J164" s="47">
        <v>4.2085502800716865E-2</v>
      </c>
      <c r="K164" s="43">
        <v>-1.29535396939288E-2</v>
      </c>
      <c r="L164" s="43">
        <v>8.2587055517793426E-2</v>
      </c>
      <c r="M164" s="43">
        <v>2.718801001185378E-3</v>
      </c>
      <c r="N164" s="30">
        <v>1.4000000000000002E-3</v>
      </c>
      <c r="Q164" s="45">
        <f t="shared" si="10"/>
        <v>4.3487432331440916E-2</v>
      </c>
      <c r="R164" s="45">
        <f t="shared" si="11"/>
        <v>-5.5712556195838703E-2</v>
      </c>
      <c r="S164" s="45">
        <f t="shared" si="12"/>
        <v>0.26054847406413478</v>
      </c>
      <c r="T164" s="45">
        <f t="shared" si="13"/>
        <v>2.020835331659139E-2</v>
      </c>
    </row>
    <row r="165" spans="10:20">
      <c r="J165" s="47">
        <v>4.4887432331440914E-2</v>
      </c>
      <c r="K165" s="43">
        <v>-5.4312556195838704E-2</v>
      </c>
      <c r="L165" s="43">
        <v>0.2619484740641348</v>
      </c>
      <c r="M165" s="43">
        <v>2.1608353316591389E-2</v>
      </c>
      <c r="N165" s="30">
        <v>1.4000000000000002E-3</v>
      </c>
      <c r="Q165" s="45">
        <f t="shared" si="10"/>
        <v>1.694078695647723E-2</v>
      </c>
      <c r="R165" s="45">
        <f t="shared" si="11"/>
        <v>1.2978812504731698E-2</v>
      </c>
      <c r="S165" s="45">
        <f t="shared" si="12"/>
        <v>9.0369866780098118E-2</v>
      </c>
      <c r="T165" s="45">
        <f t="shared" si="13"/>
        <v>3.4424002040461376E-3</v>
      </c>
    </row>
    <row r="166" spans="10:20">
      <c r="J166" s="47">
        <v>1.8340786956477232E-2</v>
      </c>
      <c r="K166" s="43">
        <v>1.4378812504731699E-2</v>
      </c>
      <c r="L166" s="43">
        <v>9.1769866780098117E-2</v>
      </c>
      <c r="M166" s="43">
        <v>4.8424002040461378E-3</v>
      </c>
      <c r="N166" s="30">
        <v>1.4000000000000002E-3</v>
      </c>
      <c r="Q166" s="45">
        <f t="shared" si="10"/>
        <v>-1.6346780746998201E-2</v>
      </c>
      <c r="R166" s="45">
        <f t="shared" si="11"/>
        <v>9.0537862798658678E-2</v>
      </c>
      <c r="S166" s="45">
        <f t="shared" si="12"/>
        <v>0.22121522372156427</v>
      </c>
      <c r="T166" s="45">
        <f t="shared" si="13"/>
        <v>3.4421586465418756E-2</v>
      </c>
    </row>
    <row r="167" spans="10:20">
      <c r="J167" s="47">
        <v>-1.4746780746998202E-2</v>
      </c>
      <c r="K167" s="43">
        <v>9.2137862798658682E-2</v>
      </c>
      <c r="L167" s="43">
        <v>0.22281522372156426</v>
      </c>
      <c r="M167" s="43">
        <v>3.6021586465418753E-2</v>
      </c>
      <c r="N167" s="30">
        <v>1.6000000000000001E-3</v>
      </c>
      <c r="Q167" s="45">
        <f t="shared" si="10"/>
        <v>-1.8039748891744128E-2</v>
      </c>
      <c r="R167" s="45">
        <f t="shared" si="11"/>
        <v>1.4774872464415254E-2</v>
      </c>
      <c r="S167" s="45">
        <f t="shared" si="12"/>
        <v>0.37155876601514704</v>
      </c>
      <c r="T167" s="45">
        <f t="shared" si="13"/>
        <v>2.8663218631604082E-2</v>
      </c>
    </row>
    <row r="168" spans="10:20">
      <c r="J168" s="47">
        <v>-1.6439748891744127E-2</v>
      </c>
      <c r="K168" s="43">
        <v>1.6374872464415255E-2</v>
      </c>
      <c r="L168" s="43">
        <v>0.37315876601514703</v>
      </c>
      <c r="M168" s="43">
        <v>3.0263218631604083E-2</v>
      </c>
      <c r="N168" s="30">
        <v>1.6000000000000001E-3</v>
      </c>
      <c r="Q168" s="45">
        <f t="shared" si="10"/>
        <v>5.8996427402935772E-2</v>
      </c>
      <c r="R168" s="45">
        <f t="shared" si="11"/>
        <v>2.4337075242855929E-2</v>
      </c>
      <c r="S168" s="45">
        <f t="shared" si="12"/>
        <v>0.22575464028670397</v>
      </c>
      <c r="T168" s="45">
        <f t="shared" si="13"/>
        <v>2.7943009181395375E-3</v>
      </c>
    </row>
    <row r="169" spans="10:20">
      <c r="J169" s="47">
        <v>6.0496427402935773E-2</v>
      </c>
      <c r="K169" s="43">
        <v>2.5837075242855931E-2</v>
      </c>
      <c r="L169" s="43">
        <v>0.22725464028670397</v>
      </c>
      <c r="M169" s="43">
        <v>4.2943009181395375E-3</v>
      </c>
      <c r="N169" s="30">
        <v>1.5E-3</v>
      </c>
      <c r="Q169" s="45">
        <f t="shared" si="10"/>
        <v>-6.4708710288582619E-2</v>
      </c>
      <c r="R169" s="45">
        <f t="shared" si="11"/>
        <v>1.127223238284597E-2</v>
      </c>
      <c r="S169" s="45">
        <f t="shared" si="12"/>
        <v>-0.41238884932723507</v>
      </c>
      <c r="T169" s="45">
        <f t="shared" si="13"/>
        <v>-7.1303358979814643E-2</v>
      </c>
    </row>
    <row r="170" spans="10:20">
      <c r="J170" s="47">
        <v>-6.280871028858262E-2</v>
      </c>
      <c r="K170" s="43">
        <v>1.3172232382845971E-2</v>
      </c>
      <c r="L170" s="43">
        <v>-0.41048884932723506</v>
      </c>
      <c r="M170" s="43">
        <v>-6.9403358979814644E-2</v>
      </c>
      <c r="N170" s="30">
        <v>1.9E-3</v>
      </c>
      <c r="Q170" s="45">
        <f t="shared" si="10"/>
        <v>-4.0590399659434853E-3</v>
      </c>
      <c r="R170" s="45">
        <f t="shared" si="11"/>
        <v>4.7560583842949686E-2</v>
      </c>
      <c r="S170" s="45">
        <f t="shared" si="12"/>
        <v>0.1678870020835245</v>
      </c>
      <c r="T170" s="45">
        <f t="shared" si="13"/>
        <v>1.6059381799140151E-2</v>
      </c>
    </row>
    <row r="171" spans="10:20">
      <c r="J171" s="47">
        <v>-2.2590399659434858E-3</v>
      </c>
      <c r="K171" s="43">
        <v>4.9360583842949689E-2</v>
      </c>
      <c r="L171" s="43">
        <v>0.1696870020835245</v>
      </c>
      <c r="M171" s="43">
        <v>1.785938179914015E-2</v>
      </c>
      <c r="N171" s="30">
        <v>1.8E-3</v>
      </c>
      <c r="Q171" s="45">
        <f t="shared" si="10"/>
        <v>-0.14416412023388367</v>
      </c>
      <c r="R171" s="45">
        <f t="shared" si="11"/>
        <v>-0.1234111748561737</v>
      </c>
      <c r="S171" s="45">
        <f t="shared" si="12"/>
        <v>-0.13523334527291833</v>
      </c>
      <c r="T171" s="45">
        <f t="shared" si="13"/>
        <v>-9.3676955767217338E-2</v>
      </c>
    </row>
    <row r="172" spans="10:20">
      <c r="J172" s="47">
        <v>-0.14226412023388366</v>
      </c>
      <c r="K172" s="43">
        <v>-0.1215111748561737</v>
      </c>
      <c r="L172" s="43">
        <v>-0.13333334527291832</v>
      </c>
      <c r="M172" s="43">
        <v>-9.1776955767217339E-2</v>
      </c>
      <c r="N172" s="30">
        <v>1.9E-3</v>
      </c>
      <c r="Q172" s="45">
        <f t="shared" si="10"/>
        <v>7.2544319631229162E-2</v>
      </c>
      <c r="R172" s="45">
        <f t="shared" si="11"/>
        <v>2.9128195924029321E-2</v>
      </c>
      <c r="S172" s="45">
        <f t="shared" si="12"/>
        <v>0.32021858385866359</v>
      </c>
      <c r="T172" s="45">
        <f t="shared" si="13"/>
        <v>7.6584404731036879E-2</v>
      </c>
    </row>
    <row r="173" spans="10:20">
      <c r="J173" s="47">
        <v>7.4644319631229167E-2</v>
      </c>
      <c r="K173" s="43">
        <v>3.1228195924029322E-2</v>
      </c>
      <c r="L173" s="43">
        <v>0.32231858385866358</v>
      </c>
      <c r="M173" s="43">
        <v>7.8684404731036883E-2</v>
      </c>
      <c r="N173" s="30">
        <v>2.0999999999999999E-3</v>
      </c>
      <c r="Q173" s="45">
        <f t="shared" si="10"/>
        <v>7.6666158512334673E-2</v>
      </c>
      <c r="R173" s="45">
        <f t="shared" si="11"/>
        <v>2.4950807857015013E-2</v>
      </c>
      <c r="S173" s="45">
        <f t="shared" si="12"/>
        <v>-3.7850764697562954E-2</v>
      </c>
      <c r="T173" s="45">
        <f t="shared" si="13"/>
        <v>2.7928930143116062E-2</v>
      </c>
    </row>
    <row r="174" spans="10:20">
      <c r="J174" s="47">
        <v>7.8466158512334669E-2</v>
      </c>
      <c r="K174" s="43">
        <v>2.6750807857015012E-2</v>
      </c>
      <c r="L174" s="43">
        <v>-3.6050764697562951E-2</v>
      </c>
      <c r="M174" s="43">
        <v>2.9728930143116061E-2</v>
      </c>
      <c r="N174" s="30">
        <v>1.8E-3</v>
      </c>
      <c r="Q174" s="45">
        <f t="shared" si="10"/>
        <v>2.0496612676205905E-2</v>
      </c>
      <c r="R174" s="45">
        <f t="shared" si="11"/>
        <v>2.115323412291388E-2</v>
      </c>
      <c r="S174" s="45">
        <f t="shared" si="12"/>
        <v>8.26728734826426E-2</v>
      </c>
      <c r="T174" s="45">
        <f t="shared" si="13"/>
        <v>1.602428775107835E-2</v>
      </c>
    </row>
    <row r="175" spans="10:20">
      <c r="J175" s="47">
        <v>2.2396612676205904E-2</v>
      </c>
      <c r="K175" s="43">
        <v>2.3053234122913879E-2</v>
      </c>
      <c r="L175" s="43">
        <v>8.4572873482642599E-2</v>
      </c>
      <c r="M175" s="43">
        <v>1.7924287751078349E-2</v>
      </c>
      <c r="N175" s="30">
        <v>1.9E-3</v>
      </c>
      <c r="Q175" s="45">
        <f t="shared" si="10"/>
        <v>-8.5356961982766249E-3</v>
      </c>
      <c r="R175" s="45">
        <f t="shared" si="11"/>
        <v>7.9865850907029669E-3</v>
      </c>
      <c r="S175" s="45">
        <f t="shared" si="12"/>
        <v>8.0580198477858078E-2</v>
      </c>
      <c r="T175" s="45">
        <f t="shared" si="13"/>
        <v>3.7213434942139349E-2</v>
      </c>
    </row>
    <row r="176" spans="10:20">
      <c r="J176" s="47">
        <v>-6.4356961982766255E-3</v>
      </c>
      <c r="K176" s="43">
        <v>1.0086585090702966E-2</v>
      </c>
      <c r="L176" s="43">
        <v>8.2680198477858083E-2</v>
      </c>
      <c r="M176" s="43">
        <v>3.9313434942139347E-2</v>
      </c>
      <c r="N176" s="30">
        <v>2.0999999999999999E-3</v>
      </c>
      <c r="Q176" s="45">
        <f t="shared" si="10"/>
        <v>-0.1205604170507657</v>
      </c>
      <c r="R176" s="45">
        <f t="shared" si="11"/>
        <v>-7.3275660545104052E-2</v>
      </c>
      <c r="S176" s="45">
        <f t="shared" si="12"/>
        <v>-1.0062335144290618E-2</v>
      </c>
      <c r="T176" s="45">
        <f t="shared" si="13"/>
        <v>-6.7877726481161541E-2</v>
      </c>
    </row>
    <row r="177" spans="10:20">
      <c r="J177" s="47">
        <v>-0.1184604170507657</v>
      </c>
      <c r="K177" s="43">
        <v>-7.1175660545104047E-2</v>
      </c>
      <c r="L177" s="43">
        <v>-7.9623351442906186E-3</v>
      </c>
      <c r="M177" s="43">
        <v>-6.5777726481161536E-2</v>
      </c>
      <c r="N177" s="30">
        <v>2.0999999999999999E-3</v>
      </c>
      <c r="Q177" s="45">
        <f t="shared" si="10"/>
        <v>8.1003460340783956E-2</v>
      </c>
      <c r="R177" s="45">
        <f t="shared" si="11"/>
        <v>6.0190127801526598E-2</v>
      </c>
      <c r="S177" s="45">
        <f t="shared" si="12"/>
        <v>0.10618982153590763</v>
      </c>
      <c r="T177" s="45">
        <f t="shared" si="13"/>
        <v>6.7130183208214983E-2</v>
      </c>
    </row>
    <row r="178" spans="10:20">
      <c r="J178" s="47">
        <v>8.2803460340783952E-2</v>
      </c>
      <c r="K178" s="43">
        <v>6.1990127801526601E-2</v>
      </c>
      <c r="L178" s="43">
        <v>0.10798982153590762</v>
      </c>
      <c r="M178" s="43">
        <v>6.8930183208214979E-2</v>
      </c>
      <c r="N178" s="30">
        <v>1.8E-3</v>
      </c>
      <c r="Q178" s="45">
        <f t="shared" si="10"/>
        <v>-3.152282036314645E-2</v>
      </c>
      <c r="R178" s="45">
        <f t="shared" si="11"/>
        <v>-6.6948805557144095E-2</v>
      </c>
      <c r="S178" s="45">
        <f t="shared" si="12"/>
        <v>7.3417588065084988E-4</v>
      </c>
      <c r="T178" s="45">
        <f t="shared" si="13"/>
        <v>1.1228195366039374E-2</v>
      </c>
    </row>
    <row r="179" spans="10:20">
      <c r="J179" s="47">
        <v>-2.9622820363146448E-2</v>
      </c>
      <c r="K179" s="43">
        <v>-6.5048805557144096E-2</v>
      </c>
      <c r="L179" s="43">
        <v>2.6341758806508499E-3</v>
      </c>
      <c r="M179" s="43">
        <v>1.3128195366039375E-2</v>
      </c>
      <c r="N179" s="30">
        <v>1.9E-3</v>
      </c>
      <c r="Q179" s="45">
        <f t="shared" si="10"/>
        <v>-8.067473379712993E-2</v>
      </c>
      <c r="R179" s="45">
        <f t="shared" si="11"/>
        <v>-1.5883524749774374E-2</v>
      </c>
      <c r="S179" s="45">
        <f t="shared" si="12"/>
        <v>3.1240721673054767E-2</v>
      </c>
      <c r="T179" s="45">
        <f t="shared" si="13"/>
        <v>-1.9691652742267762E-2</v>
      </c>
    </row>
    <row r="180" spans="10:20">
      <c r="J180" s="47">
        <v>-7.9074733797129926E-2</v>
      </c>
      <c r="K180" s="43">
        <v>-1.4283524749774375E-2</v>
      </c>
      <c r="L180" s="43">
        <v>3.2840721673054768E-2</v>
      </c>
      <c r="M180" s="43">
        <v>-1.8091652742267761E-2</v>
      </c>
      <c r="N180" s="30">
        <v>1.6000000000000001E-3</v>
      </c>
      <c r="Q180" s="45">
        <f t="shared" si="10"/>
        <v>2.9303930330083824E-2</v>
      </c>
      <c r="R180" s="45">
        <f t="shared" si="11"/>
        <v>6.1464339950983108E-3</v>
      </c>
      <c r="S180" s="45">
        <f t="shared" si="12"/>
        <v>-8.0019425505392788E-2</v>
      </c>
      <c r="T180" s="45">
        <f t="shared" si="13"/>
        <v>1.5381167690656807E-2</v>
      </c>
    </row>
    <row r="181" spans="10:20">
      <c r="J181" s="47">
        <v>3.1103930330083823E-2</v>
      </c>
      <c r="K181" s="43">
        <v>7.9464339950983103E-3</v>
      </c>
      <c r="L181" s="43">
        <v>-7.8219425505392792E-2</v>
      </c>
      <c r="M181" s="43">
        <v>1.7181167690656807E-2</v>
      </c>
      <c r="N181" s="30">
        <v>1.8E-3</v>
      </c>
      <c r="Q181" s="45">
        <f t="shared" si="10"/>
        <v>-4.4553404464659836E-2</v>
      </c>
      <c r="R181" s="45">
        <f t="shared" si="11"/>
        <v>1.9059501491205142E-2</v>
      </c>
      <c r="S181" s="45">
        <f t="shared" si="12"/>
        <v>0.16890360721144904</v>
      </c>
      <c r="T181" s="45">
        <f t="shared" si="13"/>
        <v>1.8931747482144934E-2</v>
      </c>
    </row>
    <row r="182" spans="10:20">
      <c r="J182" s="47">
        <v>-4.3053404464659835E-2</v>
      </c>
      <c r="K182" s="43">
        <v>2.0559501491205143E-2</v>
      </c>
      <c r="L182" s="43">
        <v>0.17040360721144904</v>
      </c>
      <c r="M182" s="43">
        <v>2.0431747482144935E-2</v>
      </c>
      <c r="N182" s="30">
        <v>1.5E-3</v>
      </c>
      <c r="Q182" s="45">
        <f t="shared" si="10"/>
        <v>7.087665548659831E-3</v>
      </c>
      <c r="R182" s="45">
        <f t="shared" si="11"/>
        <v>4.0075465647904006E-2</v>
      </c>
      <c r="S182" s="45">
        <f t="shared" si="12"/>
        <v>0.15264618843952238</v>
      </c>
      <c r="T182" s="45">
        <f t="shared" si="13"/>
        <v>3.284706409091518E-2</v>
      </c>
    </row>
    <row r="183" spans="10:20">
      <c r="J183" s="47">
        <v>8.2876655486598307E-3</v>
      </c>
      <c r="K183" s="43">
        <v>4.1275465647904006E-2</v>
      </c>
      <c r="L183" s="43">
        <v>0.15384618843952239</v>
      </c>
      <c r="M183" s="43">
        <v>3.404706409091518E-2</v>
      </c>
      <c r="N183" s="30">
        <v>1.1999999999999999E-3</v>
      </c>
      <c r="Q183" s="45">
        <f t="shared" si="10"/>
        <v>2.2818429361467919E-2</v>
      </c>
      <c r="R183" s="45">
        <f t="shared" si="11"/>
        <v>5.9549809362252785E-2</v>
      </c>
      <c r="S183" s="45">
        <f t="shared" si="12"/>
        <v>0.16999205167175324</v>
      </c>
      <c r="T183" s="45">
        <f t="shared" si="13"/>
        <v>2.7189803182446307E-2</v>
      </c>
    </row>
    <row r="184" spans="10:20">
      <c r="J184" s="47">
        <v>2.4218429361467918E-2</v>
      </c>
      <c r="K184" s="43">
        <v>6.0949809362252784E-2</v>
      </c>
      <c r="L184" s="43">
        <v>0.17139205167175325</v>
      </c>
      <c r="M184" s="43">
        <v>2.8589803182446305E-2</v>
      </c>
      <c r="N184" s="30">
        <v>1.4000000000000002E-3</v>
      </c>
      <c r="Q184" s="45">
        <f t="shared" si="10"/>
        <v>-0.11107357382363219</v>
      </c>
      <c r="R184" s="45">
        <f t="shared" si="11"/>
        <v>1.926625831508318E-2</v>
      </c>
      <c r="S184" s="45">
        <f t="shared" si="12"/>
        <v>2.3558250642742376E-2</v>
      </c>
      <c r="T184" s="45">
        <f t="shared" si="13"/>
        <v>-2.928089811129274E-3</v>
      </c>
    </row>
    <row r="185" spans="10:20">
      <c r="J185" s="47">
        <v>-0.10977357382363219</v>
      </c>
      <c r="K185" s="43">
        <v>2.0566258315083179E-2</v>
      </c>
      <c r="L185" s="43">
        <v>2.4858250642742375E-2</v>
      </c>
      <c r="M185" s="43">
        <v>-1.6280898111292741E-3</v>
      </c>
      <c r="N185" s="30">
        <v>1.2999999999999999E-3</v>
      </c>
      <c r="Q185" s="45">
        <f t="shared" si="10"/>
        <v>-0.17312531372845827</v>
      </c>
      <c r="R185" s="45">
        <f t="shared" si="11"/>
        <v>-9.7861515830110143E-2</v>
      </c>
      <c r="S185" s="45">
        <f t="shared" si="12"/>
        <v>-3.3540435271567484E-2</v>
      </c>
      <c r="T185" s="45">
        <f t="shared" si="13"/>
        <v>-8.5310469009648143E-2</v>
      </c>
    </row>
    <row r="186" spans="10:20">
      <c r="J186" s="47">
        <v>-0.17192531372845826</v>
      </c>
      <c r="K186" s="43">
        <v>-9.6661515830110137E-2</v>
      </c>
      <c r="L186" s="43">
        <v>-3.2340435271567484E-2</v>
      </c>
      <c r="M186" s="43">
        <v>-8.4110469009648137E-2</v>
      </c>
      <c r="N186" s="30">
        <v>1.1999999999999999E-3</v>
      </c>
      <c r="Q186" s="45">
        <f t="shared" si="10"/>
        <v>-0.26305843245749788</v>
      </c>
      <c r="R186" s="45">
        <f t="shared" si="11"/>
        <v>-2.6110700112704905E-2</v>
      </c>
      <c r="S186" s="45">
        <f t="shared" si="12"/>
        <v>-1.1999999999999999E-3</v>
      </c>
      <c r="T186" s="45">
        <f t="shared" si="13"/>
        <v>-0.12631932083595657</v>
      </c>
    </row>
    <row r="187" spans="10:20">
      <c r="J187" s="47">
        <v>-0.2618584324574979</v>
      </c>
      <c r="K187" s="43">
        <v>-2.4910700112704905E-2</v>
      </c>
      <c r="L187" s="43">
        <v>0</v>
      </c>
      <c r="M187" s="43">
        <v>-0.12511932083595656</v>
      </c>
      <c r="N187" s="30">
        <v>1.1999999999999999E-3</v>
      </c>
      <c r="Q187" s="45">
        <f t="shared" si="10"/>
        <v>0.22386093565267992</v>
      </c>
      <c r="R187" s="45">
        <f t="shared" si="11"/>
        <v>0.14420794401875972</v>
      </c>
      <c r="S187" s="45">
        <f t="shared" si="12"/>
        <v>0.15193491462098491</v>
      </c>
      <c r="T187" s="45">
        <f t="shared" si="13"/>
        <v>0.12684410293315374</v>
      </c>
    </row>
    <row r="188" spans="10:20">
      <c r="J188" s="47">
        <v>0.22386093565267992</v>
      </c>
      <c r="K188" s="43">
        <v>0.14420794401875972</v>
      </c>
      <c r="L188" s="43">
        <v>0.15193491462098491</v>
      </c>
      <c r="M188" s="43">
        <v>0.12684410293315374</v>
      </c>
      <c r="N188" s="30">
        <v>0</v>
      </c>
      <c r="Q188" s="45">
        <f t="shared" si="10"/>
        <v>-2.1619259172183623E-2</v>
      </c>
      <c r="R188" s="45">
        <f t="shared" si="11"/>
        <v>-8.6976629155983698E-3</v>
      </c>
      <c r="S188" s="45">
        <f t="shared" si="12"/>
        <v>2.6813530518015362E-2</v>
      </c>
      <c r="T188" s="45">
        <f t="shared" si="13"/>
        <v>4.5181775012618428E-2</v>
      </c>
    </row>
    <row r="189" spans="10:20">
      <c r="J189" s="47">
        <v>-2.1519259172183624E-2</v>
      </c>
      <c r="K189" s="43">
        <v>-8.5976629155983704E-3</v>
      </c>
      <c r="L189" s="43">
        <v>2.6913530518015361E-2</v>
      </c>
      <c r="M189" s="43">
        <v>4.528177501261843E-2</v>
      </c>
      <c r="N189" s="30">
        <v>1E-4</v>
      </c>
      <c r="Q189" s="45">
        <f t="shared" si="10"/>
        <v>-1.6594391463937645E-2</v>
      </c>
      <c r="R189" s="45">
        <f t="shared" si="11"/>
        <v>-5.46882024684874E-2</v>
      </c>
      <c r="S189" s="45">
        <f t="shared" si="12"/>
        <v>-2.2218933895620664E-2</v>
      </c>
      <c r="T189" s="45">
        <f t="shared" si="13"/>
        <v>1.8288403283502664E-2</v>
      </c>
    </row>
    <row r="190" spans="10:20">
      <c r="J190" s="47">
        <v>-1.6494391463937646E-2</v>
      </c>
      <c r="K190" s="43">
        <v>-5.4588202468487397E-2</v>
      </c>
      <c r="L190" s="43">
        <v>-2.2118933895620665E-2</v>
      </c>
      <c r="M190" s="43">
        <v>1.8388403283502663E-2</v>
      </c>
      <c r="N190" s="30">
        <v>1E-4</v>
      </c>
      <c r="Q190" s="45">
        <f t="shared" si="10"/>
        <v>-5.9133974006830972E-2</v>
      </c>
      <c r="R190" s="45">
        <f t="shared" si="11"/>
        <v>3.6378627930776765E-2</v>
      </c>
      <c r="S190" s="45">
        <f t="shared" si="12"/>
        <v>0.47167341583114575</v>
      </c>
      <c r="T190" s="45">
        <f t="shared" si="13"/>
        <v>5.50012969754443E-2</v>
      </c>
    </row>
    <row r="191" spans="10:20">
      <c r="J191" s="47">
        <v>-5.9033974006830969E-2</v>
      </c>
      <c r="K191" s="43">
        <v>3.6478627930776768E-2</v>
      </c>
      <c r="L191" s="43">
        <v>0.47177341583114574</v>
      </c>
      <c r="M191" s="43">
        <v>5.5101296975444303E-2</v>
      </c>
      <c r="N191" s="30">
        <v>1E-4</v>
      </c>
      <c r="Q191" s="45">
        <f t="shared" si="10"/>
        <v>-5.0955587243971999E-2</v>
      </c>
      <c r="R191" s="45">
        <f t="shared" si="11"/>
        <v>5.2383599365906003E-2</v>
      </c>
      <c r="S191" s="45">
        <f t="shared" si="12"/>
        <v>0.17283038017401878</v>
      </c>
      <c r="T191" s="45">
        <f t="shared" si="13"/>
        <v>6.9964687324219219E-2</v>
      </c>
    </row>
    <row r="192" spans="10:20">
      <c r="J192" s="47">
        <v>-5.0855587243971996E-2</v>
      </c>
      <c r="K192" s="43">
        <v>5.2483599365906006E-2</v>
      </c>
      <c r="L192" s="43">
        <v>0.17293038017401877</v>
      </c>
      <c r="M192" s="43">
        <v>7.0064687324219221E-2</v>
      </c>
      <c r="N192" s="30">
        <v>1E-4</v>
      </c>
      <c r="Q192" s="45">
        <f t="shared" si="10"/>
        <v>-0.14056061563714567</v>
      </c>
      <c r="R192" s="45">
        <f t="shared" si="11"/>
        <v>-2.9628705241897701E-2</v>
      </c>
      <c r="S192" s="45">
        <f t="shared" si="12"/>
        <v>-9.7325301263218394E-2</v>
      </c>
      <c r="T192" s="45">
        <f t="shared" si="13"/>
        <v>-3.9327954095494402E-2</v>
      </c>
    </row>
    <row r="193" spans="10:20">
      <c r="J193" s="47">
        <v>-0.14046061563714568</v>
      </c>
      <c r="K193" s="43">
        <v>-2.9528705241897702E-2</v>
      </c>
      <c r="L193" s="43">
        <v>-9.7225301263218392E-2</v>
      </c>
      <c r="M193" s="43">
        <v>-3.9227954095494399E-2</v>
      </c>
      <c r="N193" s="30">
        <v>1E-4</v>
      </c>
      <c r="Q193" s="45">
        <f t="shared" si="10"/>
        <v>-4.9910743022537937E-2</v>
      </c>
      <c r="R193" s="45">
        <f t="shared" si="11"/>
        <v>-7.9156984728912583E-2</v>
      </c>
      <c r="S193" s="45">
        <f t="shared" si="12"/>
        <v>-8.1817247503464585E-2</v>
      </c>
      <c r="T193" s="45">
        <f t="shared" si="13"/>
        <v>-2.7765774606006498E-2</v>
      </c>
    </row>
    <row r="194" spans="10:20">
      <c r="J194" s="47">
        <v>-4.9810743022537934E-2</v>
      </c>
      <c r="K194" s="43">
        <v>-7.905698472891258E-2</v>
      </c>
      <c r="L194" s="43">
        <v>-8.1717247503464582E-2</v>
      </c>
      <c r="M194" s="43">
        <v>-2.7665774606006499E-2</v>
      </c>
      <c r="N194" s="30">
        <v>1E-4</v>
      </c>
      <c r="Q194" s="45">
        <f t="shared" si="10"/>
        <v>0.16881484723025722</v>
      </c>
      <c r="R194" s="45">
        <f t="shared" si="11"/>
        <v>5.5111086220782687E-2</v>
      </c>
      <c r="S194" s="45">
        <f t="shared" si="12"/>
        <v>0.23060796301451167</v>
      </c>
      <c r="T194" s="45">
        <f t="shared" si="13"/>
        <v>0.10744565805086313</v>
      </c>
    </row>
    <row r="195" spans="10:20">
      <c r="J195" s="47">
        <v>0.16891484723025721</v>
      </c>
      <c r="K195" s="43">
        <v>5.521108622078269E-2</v>
      </c>
      <c r="L195" s="43">
        <v>0.23070796301451166</v>
      </c>
      <c r="M195" s="43">
        <v>0.10754565805086314</v>
      </c>
      <c r="N195" s="30">
        <v>1E-4</v>
      </c>
      <c r="Q195" s="45">
        <f t="shared" si="10"/>
        <v>8.0938554052698036E-2</v>
      </c>
      <c r="R195" s="45">
        <f t="shared" si="11"/>
        <v>8.7680016933586499E-2</v>
      </c>
      <c r="S195" s="45">
        <f t="shared" si="12"/>
        <v>-1.0352585150988889E-2</v>
      </c>
      <c r="T195" s="45">
        <f t="shared" si="13"/>
        <v>3.7021406659432307E-2</v>
      </c>
    </row>
    <row r="196" spans="10:20">
      <c r="J196" s="47">
        <v>8.1038554052698039E-2</v>
      </c>
      <c r="K196" s="43">
        <v>8.7780016933586502E-2</v>
      </c>
      <c r="L196" s="43">
        <v>-1.025258515098889E-2</v>
      </c>
      <c r="M196" s="43">
        <v>3.712140665943231E-2</v>
      </c>
      <c r="N196" s="30">
        <v>1E-4</v>
      </c>
      <c r="Q196" s="45">
        <f t="shared" ref="Q196:Q243" si="14">J197-N197</f>
        <v>8.7821417386726996E-2</v>
      </c>
      <c r="R196" s="45">
        <f t="shared" ref="R196:R243" si="15">K197-N197</f>
        <v>3.6535772154039109E-2</v>
      </c>
      <c r="S196" s="45">
        <f t="shared" ref="S196:S243" si="16">L197-N197</f>
        <v>-6.6186890801658779E-2</v>
      </c>
      <c r="T196" s="45">
        <f t="shared" ref="T196:T243" si="17">M197-N197</f>
        <v>-1.1136640158463607E-2</v>
      </c>
    </row>
    <row r="197" spans="10:20">
      <c r="J197" s="47">
        <v>8.7821417386726996E-2</v>
      </c>
      <c r="K197" s="43">
        <v>3.6535772154039109E-2</v>
      </c>
      <c r="L197" s="43">
        <v>-6.6186890801658779E-2</v>
      </c>
      <c r="M197" s="43">
        <v>-1.1136640158463607E-2</v>
      </c>
      <c r="N197" s="30">
        <v>0</v>
      </c>
      <c r="Q197" s="45">
        <f t="shared" si="14"/>
        <v>0.21253342432798503</v>
      </c>
      <c r="R197" s="45">
        <f t="shared" si="15"/>
        <v>-2.8627462938532328E-2</v>
      </c>
      <c r="S197" s="45">
        <f t="shared" si="16"/>
        <v>-1.3194736822412389E-2</v>
      </c>
      <c r="T197" s="45">
        <f t="shared" si="17"/>
        <v>2.6091474971999817E-2</v>
      </c>
    </row>
    <row r="198" spans="10:20">
      <c r="J198" s="47">
        <v>0.21253342432798503</v>
      </c>
      <c r="K198" s="43">
        <v>-2.8627462938532328E-2</v>
      </c>
      <c r="L198" s="43">
        <v>-1.3194736822412389E-2</v>
      </c>
      <c r="M198" s="43">
        <v>2.6091474971999817E-2</v>
      </c>
      <c r="N198" s="30">
        <v>0</v>
      </c>
      <c r="Q198" s="45">
        <f t="shared" si="14"/>
        <v>2.6853097808573197E-2</v>
      </c>
      <c r="R198" s="45">
        <f t="shared" si="15"/>
        <v>3.7170258362313892E-2</v>
      </c>
      <c r="S198" s="45">
        <f t="shared" si="16"/>
        <v>-7.1115867758970358E-2</v>
      </c>
      <c r="T198" s="45">
        <f t="shared" si="17"/>
        <v>4.2438634008107767E-2</v>
      </c>
    </row>
    <row r="199" spans="10:20">
      <c r="J199" s="47">
        <v>2.6853097808573197E-2</v>
      </c>
      <c r="K199" s="43">
        <v>3.7170258362313892E-2</v>
      </c>
      <c r="L199" s="43">
        <v>-7.1115867758970358E-2</v>
      </c>
      <c r="M199" s="43">
        <v>4.2438634008107767E-2</v>
      </c>
      <c r="N199" s="30">
        <v>0</v>
      </c>
      <c r="Q199" s="45">
        <f t="shared" si="14"/>
        <v>2.525523555737761E-2</v>
      </c>
      <c r="R199" s="45">
        <f t="shared" si="15"/>
        <v>-9.8570752407286261E-3</v>
      </c>
      <c r="S199" s="45">
        <f t="shared" si="16"/>
        <v>3.974525791824244E-2</v>
      </c>
      <c r="T199" s="45">
        <f t="shared" si="17"/>
        <v>5.242531255584737E-2</v>
      </c>
    </row>
    <row r="200" spans="10:20">
      <c r="J200" s="47">
        <v>2.525523555737761E-2</v>
      </c>
      <c r="K200" s="43">
        <v>-9.8570752407286261E-3</v>
      </c>
      <c r="L200" s="43">
        <v>3.974525791824244E-2</v>
      </c>
      <c r="M200" s="43">
        <v>5.242531255584737E-2</v>
      </c>
      <c r="N200" s="30">
        <v>0</v>
      </c>
      <c r="Q200" s="45">
        <f t="shared" si="14"/>
        <v>1.9741390990263792E-2</v>
      </c>
      <c r="R200" s="45">
        <f t="shared" si="15"/>
        <v>4.0066394909623576E-2</v>
      </c>
      <c r="S200" s="45">
        <f t="shared" si="16"/>
        <v>-1.8867935110328502E-2</v>
      </c>
      <c r="T200" s="45">
        <f t="shared" si="17"/>
        <v>5.4865025818131574E-3</v>
      </c>
    </row>
    <row r="201" spans="10:20">
      <c r="J201" s="47">
        <v>1.9741390990263792E-2</v>
      </c>
      <c r="K201" s="43">
        <v>4.0066394909623576E-2</v>
      </c>
      <c r="L201" s="43">
        <v>-1.8867935110328502E-2</v>
      </c>
      <c r="M201" s="43">
        <v>5.4865025818131574E-3</v>
      </c>
      <c r="N201" s="30">
        <v>0</v>
      </c>
      <c r="Q201" s="45">
        <f t="shared" si="14"/>
        <v>8.0692187516849007E-2</v>
      </c>
      <c r="R201" s="45">
        <f t="shared" si="15"/>
        <v>-2.6646939479089735E-2</v>
      </c>
      <c r="S201" s="45">
        <f t="shared" si="16"/>
        <v>0.17295202494301296</v>
      </c>
      <c r="T201" s="45">
        <f t="shared" si="17"/>
        <v>2.221397632316946E-2</v>
      </c>
    </row>
    <row r="202" spans="10:20">
      <c r="J202" s="47">
        <v>8.0692187516849007E-2</v>
      </c>
      <c r="K202" s="43">
        <v>-2.6646939479089735E-2</v>
      </c>
      <c r="L202" s="43">
        <v>0.17295202494301296</v>
      </c>
      <c r="M202" s="43">
        <v>2.221397632316946E-2</v>
      </c>
      <c r="N202" s="30">
        <v>0</v>
      </c>
      <c r="Q202" s="45">
        <f t="shared" si="14"/>
        <v>-8.7349428920242347E-2</v>
      </c>
      <c r="R202" s="45">
        <f t="shared" si="15"/>
        <v>4.5283423614962057E-2</v>
      </c>
      <c r="S202" s="45">
        <f t="shared" si="16"/>
        <v>0.13052275201105171</v>
      </c>
      <c r="T202" s="45">
        <f t="shared" si="17"/>
        <v>2.274810936591054E-2</v>
      </c>
    </row>
    <row r="203" spans="10:20">
      <c r="J203" s="47">
        <v>-8.7349428920242347E-2</v>
      </c>
      <c r="K203" s="43">
        <v>4.5283423614962057E-2</v>
      </c>
      <c r="L203" s="43">
        <v>0.13052275201105171</v>
      </c>
      <c r="M203" s="43">
        <v>2.274810936591054E-2</v>
      </c>
      <c r="N203" s="30">
        <v>0</v>
      </c>
      <c r="Q203" s="45">
        <f t="shared" si="14"/>
        <v>-5.297896913719724E-2</v>
      </c>
      <c r="R203" s="45">
        <f t="shared" si="15"/>
        <v>5.4007430374684801E-3</v>
      </c>
      <c r="S203" s="45">
        <f t="shared" si="16"/>
        <v>4.2659371646558232E-2</v>
      </c>
      <c r="T203" s="45">
        <f t="shared" si="17"/>
        <v>2.8990321391681118E-2</v>
      </c>
    </row>
    <row r="204" spans="10:20">
      <c r="J204" s="47">
        <v>-5.297896913719724E-2</v>
      </c>
      <c r="K204" s="43">
        <v>5.4007430374684801E-3</v>
      </c>
      <c r="L204" s="43">
        <v>4.2659371646558232E-2</v>
      </c>
      <c r="M204" s="43">
        <v>2.8990321391681118E-2</v>
      </c>
      <c r="N204" s="30">
        <v>0</v>
      </c>
      <c r="Q204" s="45">
        <f t="shared" si="14"/>
        <v>7.8870124742418724E-2</v>
      </c>
      <c r="R204" s="45">
        <f t="shared" si="15"/>
        <v>-6.7174981544559934E-2</v>
      </c>
      <c r="S204" s="45">
        <f t="shared" si="16"/>
        <v>-7.0628609181788787E-2</v>
      </c>
      <c r="T204" s="45">
        <f t="shared" si="17"/>
        <v>-4.7569140421166334E-2</v>
      </c>
    </row>
    <row r="205" spans="10:20">
      <c r="J205" s="47">
        <v>7.8870124742418724E-2</v>
      </c>
      <c r="K205" s="43">
        <v>-6.7174981544559934E-2</v>
      </c>
      <c r="L205" s="43">
        <v>-7.0628609181788787E-2</v>
      </c>
      <c r="M205" s="43">
        <v>-4.7569140421166334E-2</v>
      </c>
      <c r="N205" s="30">
        <v>0</v>
      </c>
      <c r="Q205" s="45">
        <f t="shared" si="14"/>
        <v>9.6055789785664855E-2</v>
      </c>
      <c r="R205" s="45">
        <f t="shared" si="15"/>
        <v>8.544921875E-3</v>
      </c>
      <c r="S205" s="45">
        <f t="shared" si="16"/>
        <v>0.16841595310080018</v>
      </c>
      <c r="T205" s="45">
        <f t="shared" si="17"/>
        <v>6.9143873301234615E-2</v>
      </c>
    </row>
    <row r="206" spans="10:20">
      <c r="J206" s="47">
        <v>9.6055789785664855E-2</v>
      </c>
      <c r="K206" s="43">
        <v>8.544921875E-3</v>
      </c>
      <c r="L206" s="43">
        <v>0.16841595310080018</v>
      </c>
      <c r="M206" s="43">
        <v>6.9143873301234615E-2</v>
      </c>
      <c r="N206" s="30">
        <v>0</v>
      </c>
      <c r="Q206" s="45">
        <f t="shared" si="14"/>
        <v>-7.1816363897142466E-2</v>
      </c>
      <c r="R206" s="45">
        <f t="shared" si="15"/>
        <v>-4.2669523567558737E-2</v>
      </c>
      <c r="S206" s="45">
        <f t="shared" si="16"/>
        <v>0.31722524074981151</v>
      </c>
      <c r="T206" s="45">
        <f t="shared" si="17"/>
        <v>-8.3337314184714906E-3</v>
      </c>
    </row>
    <row r="207" spans="10:20">
      <c r="J207" s="47">
        <v>-7.1816363897142466E-2</v>
      </c>
      <c r="K207" s="43">
        <v>-4.2669523567558737E-2</v>
      </c>
      <c r="L207" s="43">
        <v>0.31722524074981151</v>
      </c>
      <c r="M207" s="43">
        <v>-8.3337314184714906E-3</v>
      </c>
      <c r="N207" s="30">
        <v>0</v>
      </c>
      <c r="Q207" s="45">
        <f t="shared" si="14"/>
        <v>2.2460134870967419E-2</v>
      </c>
      <c r="R207" s="45">
        <f t="shared" si="15"/>
        <v>9.699494875637879E-2</v>
      </c>
      <c r="S207" s="45">
        <f t="shared" si="16"/>
        <v>-9.1468325231025605E-2</v>
      </c>
      <c r="T207" s="45">
        <f t="shared" si="17"/>
        <v>4.3512874972629886E-2</v>
      </c>
    </row>
    <row r="208" spans="10:20">
      <c r="J208" s="47">
        <v>2.2560134870967419E-2</v>
      </c>
      <c r="K208" s="43">
        <v>9.7094948756378793E-2</v>
      </c>
      <c r="L208" s="43">
        <v>-9.1368325231025602E-2</v>
      </c>
      <c r="M208" s="43">
        <v>4.3612874972629889E-2</v>
      </c>
      <c r="N208" s="30">
        <v>1E-4</v>
      </c>
      <c r="Q208" s="45">
        <f t="shared" si="14"/>
        <v>0.24137932324313985</v>
      </c>
      <c r="R208" s="45">
        <f t="shared" si="15"/>
        <v>7.1315011964773935E-3</v>
      </c>
      <c r="S208" s="45">
        <f t="shared" si="16"/>
        <v>-0.20604583150860548</v>
      </c>
      <c r="T208" s="45">
        <f t="shared" si="17"/>
        <v>-5.2585089106999772E-2</v>
      </c>
    </row>
    <row r="209" spans="10:20">
      <c r="J209" s="47">
        <v>0.24137932324313985</v>
      </c>
      <c r="K209" s="43">
        <v>7.1315011964773935E-3</v>
      </c>
      <c r="L209" s="43">
        <v>-0.20604583150860548</v>
      </c>
      <c r="M209" s="43">
        <v>-5.2585089106999772E-2</v>
      </c>
      <c r="N209" s="30">
        <v>0</v>
      </c>
      <c r="Q209" s="45">
        <f t="shared" si="14"/>
        <v>3.2385454372333138E-2</v>
      </c>
      <c r="R209" s="45">
        <f t="shared" si="15"/>
        <v>-4.4808092534387632E-2</v>
      </c>
      <c r="S209" s="45">
        <f t="shared" si="16"/>
        <v>7.956233118503829E-2</v>
      </c>
      <c r="T209" s="45">
        <f t="shared" si="17"/>
        <v>-3.1360520866782648E-2</v>
      </c>
    </row>
    <row r="210" spans="10:20">
      <c r="J210" s="47">
        <v>3.2385454372333138E-2</v>
      </c>
      <c r="K210" s="43">
        <v>-4.4808092534387632E-2</v>
      </c>
      <c r="L210" s="43">
        <v>7.956233118503829E-2</v>
      </c>
      <c r="M210" s="43">
        <v>-3.1360520866782648E-2</v>
      </c>
      <c r="N210" s="30">
        <v>0</v>
      </c>
      <c r="Q210" s="45">
        <f t="shared" si="14"/>
        <v>5.3175188297781055E-2</v>
      </c>
      <c r="R210" s="45">
        <f t="shared" si="15"/>
        <v>7.6927677218722595E-2</v>
      </c>
      <c r="S210" s="45">
        <f t="shared" si="16"/>
        <v>-0.11350738134973606</v>
      </c>
      <c r="T210" s="45">
        <f t="shared" si="17"/>
        <v>3.5773238773280092E-2</v>
      </c>
    </row>
    <row r="211" spans="10:20">
      <c r="J211" s="47">
        <v>5.3175188297781055E-2</v>
      </c>
      <c r="K211" s="43">
        <v>7.6927677218722595E-2</v>
      </c>
      <c r="L211" s="43">
        <v>-0.11350738134973606</v>
      </c>
      <c r="M211" s="43">
        <v>3.5773238773280092E-2</v>
      </c>
      <c r="N211" s="30">
        <v>0</v>
      </c>
      <c r="Q211" s="45">
        <f t="shared" si="14"/>
        <v>3.2207334786973699E-2</v>
      </c>
      <c r="R211" s="45">
        <f t="shared" si="15"/>
        <v>1.8224967918487777E-2</v>
      </c>
      <c r="S211" s="45">
        <f t="shared" si="16"/>
        <v>-0.21785257447068021</v>
      </c>
      <c r="T211" s="45">
        <f t="shared" si="17"/>
        <v>-8.7956719149039353E-2</v>
      </c>
    </row>
    <row r="212" spans="10:20">
      <c r="J212" s="47">
        <v>3.2207334786973699E-2</v>
      </c>
      <c r="K212" s="43">
        <v>1.8224967918487777E-2</v>
      </c>
      <c r="L212" s="43">
        <v>-0.21785257447068021</v>
      </c>
      <c r="M212" s="43">
        <v>-8.7956719149039353E-2</v>
      </c>
      <c r="N212" s="30">
        <v>0</v>
      </c>
      <c r="Q212" s="45">
        <f t="shared" si="14"/>
        <v>0.12579970674486804</v>
      </c>
      <c r="R212" s="45">
        <f t="shared" si="15"/>
        <v>-5.4535403965982861E-3</v>
      </c>
      <c r="S212" s="45">
        <f t="shared" si="16"/>
        <v>0.19076647110246273</v>
      </c>
      <c r="T212" s="45">
        <f t="shared" si="17"/>
        <v>-2.4675611639127763E-4</v>
      </c>
    </row>
    <row r="213" spans="10:20">
      <c r="J213" s="47">
        <v>0.12609970674486803</v>
      </c>
      <c r="K213" s="43">
        <v>-5.1535403965982862E-3</v>
      </c>
      <c r="L213" s="43">
        <v>0.19106647110246272</v>
      </c>
      <c r="M213" s="43">
        <v>5.3243883608722342E-5</v>
      </c>
      <c r="N213" s="30">
        <v>2.9999999999999997E-4</v>
      </c>
      <c r="Q213" s="45">
        <f t="shared" si="14"/>
        <v>-0.10851667302449544</v>
      </c>
      <c r="R213" s="45">
        <f t="shared" si="15"/>
        <v>-1.1851625278203262E-2</v>
      </c>
      <c r="S213" s="45">
        <f t="shared" si="16"/>
        <v>-0.24986368778234788</v>
      </c>
      <c r="T213" s="45">
        <f t="shared" si="17"/>
        <v>-8.4519993223866455E-2</v>
      </c>
    </row>
    <row r="214" spans="10:20">
      <c r="J214" s="47">
        <v>-0.10791667302449544</v>
      </c>
      <c r="K214" s="43">
        <v>-1.1251625278203262E-2</v>
      </c>
      <c r="L214" s="43">
        <v>-0.24926368778234789</v>
      </c>
      <c r="M214" s="43">
        <v>-8.3919993223866451E-2</v>
      </c>
      <c r="N214" s="30">
        <v>5.9999999999999995E-4</v>
      </c>
      <c r="Q214" s="45">
        <f t="shared" si="14"/>
        <v>0.13103093176074918</v>
      </c>
      <c r="R214" s="45">
        <f t="shared" si="15"/>
        <v>-1.764406696469057E-2</v>
      </c>
      <c r="S214" s="45">
        <f t="shared" si="16"/>
        <v>0.23458642229191917</v>
      </c>
      <c r="T214" s="45">
        <f t="shared" si="17"/>
        <v>9.031634763220589E-2</v>
      </c>
    </row>
    <row r="215" spans="10:20">
      <c r="J215" s="47">
        <v>0.13183093176074917</v>
      </c>
      <c r="K215" s="43">
        <v>-1.6844066964690572E-2</v>
      </c>
      <c r="L215" s="43">
        <v>0.23538642229191917</v>
      </c>
      <c r="M215" s="43">
        <v>9.1116347632205885E-2</v>
      </c>
      <c r="N215" s="30">
        <v>8.0000000000000004E-4</v>
      </c>
      <c r="Q215" s="45">
        <f t="shared" si="14"/>
        <v>-1.5724450253443399E-2</v>
      </c>
      <c r="R215" s="45">
        <f t="shared" si="15"/>
        <v>-7.7421473824821022E-2</v>
      </c>
      <c r="S215" s="45">
        <f t="shared" si="16"/>
        <v>-0.10351954430055889</v>
      </c>
      <c r="T215" s="45">
        <f t="shared" si="17"/>
        <v>-4.4340119216810456E-2</v>
      </c>
    </row>
    <row r="216" spans="10:20">
      <c r="J216" s="47">
        <v>-1.38244502534434E-2</v>
      </c>
      <c r="K216" s="43">
        <v>-7.5521473824821023E-2</v>
      </c>
      <c r="L216" s="43">
        <v>-0.10161954430055889</v>
      </c>
      <c r="M216" s="43">
        <v>-4.2440119216810457E-2</v>
      </c>
      <c r="N216" s="30">
        <v>1.9E-3</v>
      </c>
      <c r="Q216" s="45">
        <f t="shared" si="14"/>
        <v>-8.8519929872460851E-2</v>
      </c>
      <c r="R216" s="45">
        <f t="shared" si="15"/>
        <v>1.0620170560996475E-2</v>
      </c>
      <c r="S216" s="45">
        <f t="shared" si="16"/>
        <v>-0.25534646447648124</v>
      </c>
      <c r="T216" s="45">
        <f t="shared" si="17"/>
        <v>-9.5295701643489314E-2</v>
      </c>
    </row>
    <row r="217" spans="10:20">
      <c r="J217" s="47">
        <v>-8.6619929872460852E-2</v>
      </c>
      <c r="K217" s="43">
        <v>1.2520170560996476E-2</v>
      </c>
      <c r="L217" s="43">
        <v>-0.25344646447648123</v>
      </c>
      <c r="M217" s="43">
        <v>-9.3395701643489315E-2</v>
      </c>
      <c r="N217" s="30">
        <v>1.9E-3</v>
      </c>
      <c r="Q217" s="45">
        <f t="shared" si="14"/>
        <v>0.26685588886861605</v>
      </c>
      <c r="R217" s="45">
        <f t="shared" si="15"/>
        <v>6.2648583317275311E-2</v>
      </c>
      <c r="S217" s="45">
        <f t="shared" si="16"/>
        <v>-5.4383320790268475E-2</v>
      </c>
      <c r="T217" s="45">
        <f t="shared" si="17"/>
        <v>7.7563454576893259E-2</v>
      </c>
    </row>
    <row r="218" spans="10:20">
      <c r="J218" s="47">
        <v>0.26915588886861608</v>
      </c>
      <c r="K218" s="43">
        <v>6.4948583317275307E-2</v>
      </c>
      <c r="L218" s="43">
        <v>-5.2083320790268478E-2</v>
      </c>
      <c r="M218" s="43">
        <v>7.9863454576893256E-2</v>
      </c>
      <c r="N218" s="30">
        <v>2.3E-3</v>
      </c>
      <c r="Q218" s="45">
        <f t="shared" si="14"/>
        <v>1.8829509157476882E-3</v>
      </c>
      <c r="R218" s="45">
        <f t="shared" si="15"/>
        <v>2.0264906311544529E-2</v>
      </c>
      <c r="S218" s="45">
        <f t="shared" si="16"/>
        <v>0.28964071725580109</v>
      </c>
      <c r="T218" s="45">
        <f t="shared" si="17"/>
        <v>5.0852860293699856E-2</v>
      </c>
    </row>
    <row r="219" spans="10:20">
      <c r="J219" s="47">
        <v>4.782950915747688E-3</v>
      </c>
      <c r="K219" s="43">
        <v>2.3164906311544529E-2</v>
      </c>
      <c r="L219" s="43">
        <v>0.29254071725580111</v>
      </c>
      <c r="M219" s="43">
        <v>5.3752860293699856E-2</v>
      </c>
      <c r="N219" s="30">
        <v>2.8999999999999998E-3</v>
      </c>
      <c r="Q219" s="45">
        <f t="shared" si="14"/>
        <v>-1.2640698045082364E-2</v>
      </c>
      <c r="R219" s="45">
        <f t="shared" si="15"/>
        <v>-1.0884303952334973E-2</v>
      </c>
      <c r="S219" s="45">
        <f t="shared" si="16"/>
        <v>-0.16895762031874026</v>
      </c>
      <c r="T219" s="45">
        <f t="shared" si="17"/>
        <v>-6.2271449299161091E-2</v>
      </c>
    </row>
    <row r="220" spans="10:20">
      <c r="J220" s="47">
        <v>-9.3406980450823629E-3</v>
      </c>
      <c r="K220" s="43">
        <v>-7.5843039523349719E-3</v>
      </c>
      <c r="L220" s="43">
        <v>-0.16565762031874026</v>
      </c>
      <c r="M220" s="43">
        <v>-5.8971449299161094E-2</v>
      </c>
      <c r="N220" s="30">
        <v>3.3E-3</v>
      </c>
      <c r="Q220" s="45">
        <f t="shared" si="14"/>
        <v>4.826789597905326E-2</v>
      </c>
      <c r="R220" s="45">
        <f t="shared" si="15"/>
        <v>-7.8393836312792314E-2</v>
      </c>
      <c r="S220" s="45">
        <f t="shared" si="16"/>
        <v>0.15675946303524588</v>
      </c>
      <c r="T220" s="45">
        <f t="shared" si="17"/>
        <v>5.8252832400052024E-2</v>
      </c>
    </row>
    <row r="221" spans="10:20">
      <c r="J221" s="47">
        <v>5.1767895979053263E-2</v>
      </c>
      <c r="K221" s="43">
        <v>-7.4893836312792311E-2</v>
      </c>
      <c r="L221" s="43">
        <v>0.16025946303524588</v>
      </c>
      <c r="M221" s="43">
        <v>6.1752832400052027E-2</v>
      </c>
      <c r="N221" s="30">
        <v>3.4999999999999996E-3</v>
      </c>
      <c r="Q221" s="45">
        <f t="shared" si="14"/>
        <v>-5.5981659872377812E-2</v>
      </c>
      <c r="R221" s="45">
        <f t="shared" si="15"/>
        <v>-6.5571115995276513E-2</v>
      </c>
      <c r="S221" s="45">
        <f t="shared" si="16"/>
        <v>4.2242052369015785E-2</v>
      </c>
      <c r="T221" s="45">
        <f t="shared" si="17"/>
        <v>-2.9512446646715304E-2</v>
      </c>
    </row>
    <row r="222" spans="10:20">
      <c r="J222" s="47">
        <v>-5.2581659872377812E-2</v>
      </c>
      <c r="K222" s="43">
        <v>-6.217111599527652E-2</v>
      </c>
      <c r="L222" s="43">
        <v>4.5642052369015786E-2</v>
      </c>
      <c r="M222" s="43">
        <v>-2.6112446646715304E-2</v>
      </c>
      <c r="N222" s="30">
        <v>3.4000000000000002E-3</v>
      </c>
      <c r="Q222" s="45">
        <f t="shared" si="14"/>
        <v>-5.8745882237304075E-3</v>
      </c>
      <c r="R222" s="45">
        <f t="shared" si="15"/>
        <v>7.753292154049061E-3</v>
      </c>
      <c r="S222" s="45">
        <f t="shared" si="16"/>
        <v>0.24366393296541103</v>
      </c>
      <c r="T222" s="45">
        <f t="shared" si="17"/>
        <v>3.1451572358727024E-2</v>
      </c>
    </row>
    <row r="223" spans="10:20">
      <c r="J223" s="47">
        <v>-2.274588223730408E-3</v>
      </c>
      <c r="K223" s="43">
        <v>1.1353292154049061E-2</v>
      </c>
      <c r="L223" s="43">
        <v>0.24726393296541102</v>
      </c>
      <c r="M223" s="43">
        <v>3.5051572358727023E-2</v>
      </c>
      <c r="N223" s="30">
        <v>3.5999999999999999E-3</v>
      </c>
      <c r="Q223" s="45">
        <f t="shared" si="14"/>
        <v>7.5653678514607164E-2</v>
      </c>
      <c r="R223" s="45">
        <f t="shared" si="15"/>
        <v>5.262901256930444E-2</v>
      </c>
      <c r="S223" s="45">
        <f t="shared" si="16"/>
        <v>-9.1654261823595734E-2</v>
      </c>
      <c r="T223" s="45">
        <f t="shared" si="17"/>
        <v>1.114236088297044E-2</v>
      </c>
    </row>
    <row r="224" spans="10:20">
      <c r="J224" s="47">
        <v>7.9153678514607168E-2</v>
      </c>
      <c r="K224" s="43">
        <v>5.6129012569304436E-2</v>
      </c>
      <c r="L224" s="43">
        <v>-8.8154261823595731E-2</v>
      </c>
      <c r="M224" s="43">
        <v>1.464236088297044E-2</v>
      </c>
      <c r="N224" s="30">
        <v>3.4999999999999996E-3</v>
      </c>
      <c r="Q224" s="45">
        <f t="shared" si="14"/>
        <v>-0.14015565770488927</v>
      </c>
      <c r="R224" s="45">
        <f t="shared" si="15"/>
        <v>-5.6379471904206495E-2</v>
      </c>
      <c r="S224" s="45">
        <f t="shared" si="16"/>
        <v>0.3191033171260993</v>
      </c>
      <c r="T224" s="45">
        <f t="shared" si="17"/>
        <v>-1.1176760651207618E-3</v>
      </c>
    </row>
    <row r="225" spans="10:20">
      <c r="J225" s="47">
        <v>-0.13655565770488928</v>
      </c>
      <c r="K225" s="43">
        <v>-5.2779471904206496E-2</v>
      </c>
      <c r="L225" s="43">
        <v>0.32270331712609929</v>
      </c>
      <c r="M225" s="43">
        <v>2.4823239348792381E-3</v>
      </c>
      <c r="N225" s="30">
        <v>3.5999999999999999E-3</v>
      </c>
      <c r="Q225" s="45">
        <f t="shared" si="14"/>
        <v>4.561831747584566E-2</v>
      </c>
      <c r="R225" s="45">
        <f t="shared" si="15"/>
        <v>6.345780264774338E-2</v>
      </c>
      <c r="S225" s="45">
        <f t="shared" si="16"/>
        <v>-4.0375902678846248E-2</v>
      </c>
      <c r="T225" s="45">
        <f t="shared" si="17"/>
        <v>6.0727512841431297E-2</v>
      </c>
    </row>
    <row r="226" spans="10:20">
      <c r="J226" s="47">
        <v>4.9618317475845664E-2</v>
      </c>
      <c r="K226" s="43">
        <v>6.7457802647743384E-2</v>
      </c>
      <c r="L226" s="43">
        <v>-3.6375902678846245E-2</v>
      </c>
      <c r="M226" s="43">
        <v>6.4727512841431301E-2</v>
      </c>
      <c r="N226" s="30">
        <v>4.0000000000000001E-3</v>
      </c>
      <c r="Q226" s="45">
        <f t="shared" si="14"/>
        <v>-4.5932600114729025E-3</v>
      </c>
      <c r="R226" s="45">
        <f t="shared" si="15"/>
        <v>7.6435141067740919E-3</v>
      </c>
      <c r="S226" s="45">
        <f t="shared" si="16"/>
        <v>-1.9837724504856349E-4</v>
      </c>
      <c r="T226" s="45">
        <f t="shared" si="17"/>
        <v>2.6638913980379268E-2</v>
      </c>
    </row>
    <row r="227" spans="10:20">
      <c r="J227" s="47">
        <v>-9.3260011472902094E-5</v>
      </c>
      <c r="K227" s="43">
        <v>1.2143514106774092E-2</v>
      </c>
      <c r="L227" s="43">
        <v>4.301622754951437E-3</v>
      </c>
      <c r="M227" s="43">
        <v>3.1138913980379268E-2</v>
      </c>
      <c r="N227" s="30">
        <v>4.5000000000000005E-3</v>
      </c>
      <c r="Q227" s="45">
        <f t="shared" si="14"/>
        <v>3.2333314587105255E-2</v>
      </c>
      <c r="R227" s="45">
        <f t="shared" si="15"/>
        <v>-3.9419155650579282E-2</v>
      </c>
      <c r="S227" s="45">
        <f t="shared" si="16"/>
        <v>-8.0374127529729472E-2</v>
      </c>
      <c r="T227" s="45">
        <f t="shared" si="17"/>
        <v>-2.2216432481433731E-2</v>
      </c>
    </row>
    <row r="228" spans="10:20">
      <c r="J228" s="47">
        <v>3.6833314587105259E-2</v>
      </c>
      <c r="K228" s="43">
        <v>-3.4919155650579285E-2</v>
      </c>
      <c r="L228" s="43">
        <v>-7.5874127529729468E-2</v>
      </c>
      <c r="M228" s="43">
        <v>-1.771643248143373E-2</v>
      </c>
      <c r="N228" s="30">
        <v>4.5000000000000005E-3</v>
      </c>
      <c r="Q228" s="45">
        <f t="shared" si="14"/>
        <v>5.3169190119100616E-2</v>
      </c>
      <c r="R228" s="45">
        <f t="shared" si="15"/>
        <v>-4.097734379276434E-2</v>
      </c>
      <c r="S228" s="45">
        <f t="shared" si="16"/>
        <v>-3.1730963794871767E-2</v>
      </c>
      <c r="T228" s="45">
        <f t="shared" si="17"/>
        <v>-5.3019291162155008E-2</v>
      </c>
    </row>
    <row r="229" spans="10:20">
      <c r="J229" s="47">
        <v>5.7469190119100615E-2</v>
      </c>
      <c r="K229" s="43">
        <v>-3.6677343792764341E-2</v>
      </c>
      <c r="L229" s="43">
        <v>-2.7430963794871765E-2</v>
      </c>
      <c r="M229" s="43">
        <v>-4.871929116215501E-2</v>
      </c>
      <c r="N229" s="30">
        <v>4.3E-3</v>
      </c>
      <c r="Q229" s="45">
        <f t="shared" si="14"/>
        <v>-0.10446189125926275</v>
      </c>
      <c r="R229" s="45">
        <f t="shared" si="15"/>
        <v>-5.2276267493479134E-2</v>
      </c>
      <c r="S229" s="45">
        <f t="shared" si="16"/>
        <v>-4.671516930214191E-2</v>
      </c>
      <c r="T229" s="45">
        <f t="shared" si="17"/>
        <v>-2.6679687736850217E-2</v>
      </c>
    </row>
    <row r="230" spans="10:20">
      <c r="J230" s="47">
        <v>-9.9761891259262755E-2</v>
      </c>
      <c r="K230" s="43">
        <v>-4.7576267493479131E-2</v>
      </c>
      <c r="L230" s="43">
        <v>-4.2015169302141907E-2</v>
      </c>
      <c r="M230" s="43">
        <v>-2.1979687736850217E-2</v>
      </c>
      <c r="N230" s="30">
        <v>4.6999999999999993E-3</v>
      </c>
      <c r="Q230" s="45">
        <f t="shared" si="14"/>
        <v>-3.378120600079098E-2</v>
      </c>
      <c r="R230" s="45">
        <f t="shared" si="15"/>
        <v>3.8204877175694145E-2</v>
      </c>
      <c r="S230" s="45">
        <f t="shared" si="16"/>
        <v>0.22565079860009518</v>
      </c>
      <c r="T230" s="45">
        <f t="shared" si="17"/>
        <v>8.4779264628737708E-2</v>
      </c>
    </row>
    <row r="231" spans="10:20">
      <c r="J231" s="47">
        <v>-2.9381206000790978E-2</v>
      </c>
      <c r="K231" s="43">
        <v>4.2604877175694146E-2</v>
      </c>
      <c r="L231" s="43">
        <v>0.23005079860009517</v>
      </c>
      <c r="M231" s="43">
        <v>8.9179264628737709E-2</v>
      </c>
      <c r="N231" s="30">
        <v>4.4000000000000003E-3</v>
      </c>
      <c r="Q231" s="45">
        <f t="shared" si="14"/>
        <v>-3.1163875454772894E-2</v>
      </c>
      <c r="R231" s="45">
        <f t="shared" si="15"/>
        <v>9.1488670748963233E-3</v>
      </c>
      <c r="S231" s="45">
        <f t="shared" si="16"/>
        <v>0.21235565538612822</v>
      </c>
      <c r="T231" s="45">
        <f t="shared" si="17"/>
        <v>3.9929169403213755E-2</v>
      </c>
    </row>
    <row r="232" spans="10:20">
      <c r="J232" s="47">
        <v>-2.6863875454772892E-2</v>
      </c>
      <c r="K232" s="43">
        <v>1.3448867074896323E-2</v>
      </c>
      <c r="L232" s="43">
        <v>0.21665565538612822</v>
      </c>
      <c r="M232" s="43">
        <v>4.4229169403213753E-2</v>
      </c>
      <c r="N232" s="30">
        <v>4.3E-3</v>
      </c>
      <c r="Q232" s="45">
        <f t="shared" si="14"/>
        <v>2.3605602186838662E-2</v>
      </c>
      <c r="R232" s="45">
        <f t="shared" si="15"/>
        <v>9.0807089933687465E-3</v>
      </c>
      <c r="S232" s="45">
        <f t="shared" si="16"/>
        <v>0.13287545807937384</v>
      </c>
      <c r="T232" s="45">
        <f t="shared" si="17"/>
        <v>1.1195744712075555E-2</v>
      </c>
    </row>
    <row r="233" spans="10:20">
      <c r="J233" s="47">
        <v>2.8305602186838662E-2</v>
      </c>
      <c r="K233" s="43">
        <v>1.3780708993368746E-2</v>
      </c>
      <c r="L233" s="43">
        <v>0.13757545807937385</v>
      </c>
      <c r="M233" s="43">
        <v>1.5895744712075555E-2</v>
      </c>
      <c r="N233" s="30">
        <v>4.6999999999999993E-3</v>
      </c>
      <c r="Q233" s="45">
        <f t="shared" si="14"/>
        <v>1.2432614775601848E-2</v>
      </c>
      <c r="R233" s="45">
        <f t="shared" si="15"/>
        <v>1.1407369928180939E-2</v>
      </c>
      <c r="S233" s="45">
        <f t="shared" si="16"/>
        <v>0.14393045486459541</v>
      </c>
      <c r="T233" s="45">
        <f t="shared" si="17"/>
        <v>4.7520615397315315E-2</v>
      </c>
    </row>
    <row r="234" spans="10:20">
      <c r="J234" s="47">
        <v>1.6632614775601847E-2</v>
      </c>
      <c r="K234" s="43">
        <v>1.560736992818094E-2</v>
      </c>
      <c r="L234" s="43">
        <v>0.14813045486459542</v>
      </c>
      <c r="M234" s="43">
        <v>5.1720615397315317E-2</v>
      </c>
      <c r="N234" s="30">
        <v>4.1999999999999997E-3</v>
      </c>
      <c r="Q234" s="45">
        <f t="shared" si="14"/>
        <v>0.10783166472561881</v>
      </c>
      <c r="R234" s="45">
        <f t="shared" si="15"/>
        <v>-2.4067024072918441E-2</v>
      </c>
      <c r="S234" s="45">
        <f t="shared" si="16"/>
        <v>-6.6835674245417878E-2</v>
      </c>
      <c r="T234" s="45">
        <f t="shared" si="17"/>
        <v>2.6718764704381809E-2</v>
      </c>
    </row>
    <row r="235" spans="10:20">
      <c r="J235" s="47">
        <v>0.11213166472561881</v>
      </c>
      <c r="K235" s="43">
        <v>-1.976702407291844E-2</v>
      </c>
      <c r="L235" s="43">
        <v>-6.253567424541788E-2</v>
      </c>
      <c r="M235" s="43">
        <v>3.1018764704381807E-2</v>
      </c>
      <c r="N235" s="30">
        <v>4.3E-3</v>
      </c>
      <c r="Q235" s="45">
        <f t="shared" si="14"/>
        <v>1.2763857678971955E-2</v>
      </c>
      <c r="R235" s="45">
        <f t="shared" si="15"/>
        <v>-9.0672601894061428E-2</v>
      </c>
      <c r="S235" s="45">
        <f t="shared" si="16"/>
        <v>-0.1271998611415576</v>
      </c>
      <c r="T235" s="45">
        <f t="shared" si="17"/>
        <v>-4.6315042774082563E-2</v>
      </c>
    </row>
    <row r="236" spans="10:20">
      <c r="J236" s="47">
        <v>1.7463857678971954E-2</v>
      </c>
      <c r="K236" s="43">
        <v>-8.5972601894061432E-2</v>
      </c>
      <c r="L236" s="43">
        <v>-0.12249986114155759</v>
      </c>
      <c r="M236" s="43">
        <v>-4.1615042774082567E-2</v>
      </c>
      <c r="N236" s="30">
        <v>4.6999999999999993E-3</v>
      </c>
      <c r="Q236" s="45">
        <f t="shared" si="14"/>
        <v>-1.2939735651503026E-2</v>
      </c>
      <c r="R236" s="45">
        <f t="shared" si="15"/>
        <v>9.9855168665607848E-3</v>
      </c>
      <c r="S236" s="45">
        <f t="shared" si="16"/>
        <v>4.9394600018960282E-2</v>
      </c>
      <c r="T236" s="45">
        <f t="shared" si="17"/>
        <v>4.3621224499522618E-2</v>
      </c>
    </row>
    <row r="237" spans="10:20">
      <c r="J237" s="47">
        <v>-8.5397356515030266E-3</v>
      </c>
      <c r="K237" s="43">
        <v>1.4385516866560784E-2</v>
      </c>
      <c r="L237" s="43">
        <v>5.3794600018960283E-2</v>
      </c>
      <c r="M237" s="43">
        <v>4.8021224499522619E-2</v>
      </c>
      <c r="N237" s="30">
        <v>4.4000000000000003E-3</v>
      </c>
      <c r="Q237" s="45">
        <f t="shared" si="14"/>
        <v>-2.2350037102696164E-2</v>
      </c>
      <c r="R237" s="45">
        <f t="shared" si="15"/>
        <v>-7.5771562910124822E-3</v>
      </c>
      <c r="S237" s="45">
        <f t="shared" si="16"/>
        <v>-3.2200583308145819E-2</v>
      </c>
      <c r="T237" s="45">
        <f t="shared" si="17"/>
        <v>3.0569759034089865E-2</v>
      </c>
    </row>
    <row r="238" spans="10:20">
      <c r="J238" s="47">
        <v>-1.8250037102696164E-2</v>
      </c>
      <c r="K238" s="43">
        <v>-3.4771562910124827E-3</v>
      </c>
      <c r="L238" s="43">
        <v>-2.8100583308145816E-2</v>
      </c>
      <c r="M238" s="43">
        <v>3.4669759034089864E-2</v>
      </c>
      <c r="N238" s="30">
        <v>4.0999999999999995E-3</v>
      </c>
      <c r="Q238" s="45">
        <f t="shared" si="14"/>
        <v>2.5642403652884029E-2</v>
      </c>
      <c r="R238" s="45">
        <f t="shared" si="15"/>
        <v>7.5480857611573624E-2</v>
      </c>
      <c r="S238" s="45">
        <f t="shared" si="16"/>
        <v>-0.11380281889207519</v>
      </c>
      <c r="T238" s="45">
        <f t="shared" si="17"/>
        <v>6.8213490389123534E-3</v>
      </c>
    </row>
    <row r="239" spans="10:20">
      <c r="J239" s="47">
        <v>3.014240365288403E-2</v>
      </c>
      <c r="K239" s="43">
        <v>7.9980857611573627E-2</v>
      </c>
      <c r="L239" s="43">
        <v>-0.10930281889207519</v>
      </c>
      <c r="M239" s="43">
        <v>1.1321349038912354E-2</v>
      </c>
      <c r="N239" s="30">
        <v>4.5000000000000005E-3</v>
      </c>
      <c r="Q239" s="45">
        <f t="shared" si="14"/>
        <v>-1.0281017932004909E-2</v>
      </c>
      <c r="R239" s="45">
        <f t="shared" si="15"/>
        <v>4.5944340811638014E-2</v>
      </c>
      <c r="S239" s="45">
        <f t="shared" si="16"/>
        <v>2.343921616629039E-2</v>
      </c>
      <c r="T239" s="45">
        <f t="shared" si="17"/>
        <v>1.8034688445031893E-2</v>
      </c>
    </row>
    <row r="240" spans="10:20">
      <c r="J240" s="47">
        <v>-5.4810179320049094E-3</v>
      </c>
      <c r="K240" s="43">
        <v>5.0744340811638013E-2</v>
      </c>
      <c r="L240" s="43">
        <v>2.8239216166290389E-2</v>
      </c>
      <c r="M240" s="43">
        <v>2.2834688445031892E-2</v>
      </c>
      <c r="N240" s="30">
        <v>4.7999999999999996E-3</v>
      </c>
      <c r="Q240" s="45">
        <f t="shared" si="14"/>
        <v>-1.0104809274197095E-2</v>
      </c>
      <c r="R240" s="45">
        <f t="shared" si="15"/>
        <v>-2.6910907016604996E-2</v>
      </c>
      <c r="S240" s="45">
        <f t="shared" si="16"/>
        <v>0.10046960505865431</v>
      </c>
      <c r="T240" s="45">
        <f t="shared" si="17"/>
        <v>1.6196869910062976E-2</v>
      </c>
    </row>
    <row r="241" spans="10:20">
      <c r="J241" s="47">
        <v>-6.1048092741970957E-3</v>
      </c>
      <c r="K241" s="43">
        <v>-2.2910907016604996E-2</v>
      </c>
      <c r="L241" s="43">
        <v>0.10446960505865431</v>
      </c>
      <c r="M241" s="43">
        <v>2.0196869910062976E-2</v>
      </c>
      <c r="N241" s="30">
        <v>4.0000000000000001E-3</v>
      </c>
      <c r="Q241" s="45">
        <f t="shared" si="14"/>
        <v>-7.6536464496174891E-3</v>
      </c>
      <c r="R241" s="45">
        <f t="shared" si="15"/>
        <v>-1.7475200428142459E-2</v>
      </c>
      <c r="S241" s="45">
        <f t="shared" si="16"/>
        <v>-0.12585267115756904</v>
      </c>
      <c r="T241" s="45">
        <f t="shared" si="17"/>
        <v>-1.3796780552817509E-2</v>
      </c>
    </row>
    <row r="242" spans="10:20">
      <c r="J242" s="47">
        <v>-3.7536464496174889E-3</v>
      </c>
      <c r="K242" s="43">
        <v>-1.3575200428142458E-2</v>
      </c>
      <c r="L242" s="43">
        <v>-0.12195267115756904</v>
      </c>
      <c r="M242" s="43">
        <v>-9.8967805528175079E-3</v>
      </c>
      <c r="N242" s="30">
        <v>3.9000000000000003E-3</v>
      </c>
      <c r="Q242" s="45">
        <f t="shared" si="14"/>
        <v>6.104472662359502E-3</v>
      </c>
      <c r="R242" s="45">
        <f t="shared" si="15"/>
        <v>-3.4339084730377313E-2</v>
      </c>
      <c r="S242" s="45">
        <f t="shared" si="16"/>
        <v>-5.185870703084125E-2</v>
      </c>
      <c r="T242" s="45">
        <f t="shared" si="17"/>
        <v>5.3301352215863851E-2</v>
      </c>
    </row>
    <row r="243" spans="10:20">
      <c r="J243" s="47">
        <v>1.0104472662359502E-2</v>
      </c>
      <c r="K243" s="43">
        <v>-3.0339084730377313E-2</v>
      </c>
      <c r="L243" s="43">
        <v>-4.7858707030841247E-2</v>
      </c>
      <c r="M243" s="43">
        <v>5.7301352215863854E-2</v>
      </c>
      <c r="N243" s="30">
        <v>4.0000000000000001E-3</v>
      </c>
      <c r="Q243" s="45">
        <f t="shared" si="14"/>
        <v>-9.1780700833237763E-2</v>
      </c>
      <c r="R243" s="45">
        <f t="shared" si="15"/>
        <v>-7.0727932119501097E-2</v>
      </c>
      <c r="S243" s="45">
        <f t="shared" si="16"/>
        <v>-0.12314597610140533</v>
      </c>
      <c r="T243" s="45">
        <f t="shared" si="17"/>
        <v>-2.8690136563014966E-2</v>
      </c>
    </row>
    <row r="244" spans="10:20">
      <c r="J244" s="47">
        <v>-8.8080700833237768E-2</v>
      </c>
      <c r="K244" s="43">
        <v>-6.7027932119501102E-2</v>
      </c>
      <c r="L244" s="43">
        <v>-0.11944597610140534</v>
      </c>
      <c r="M244" s="43">
        <v>-2.4990136563014964E-2</v>
      </c>
      <c r="N244" s="30">
        <v>3.7000000000000002E-3</v>
      </c>
    </row>
  </sheetData>
  <mergeCells count="3">
    <mergeCell ref="V2:Y2"/>
    <mergeCell ref="J2:N2"/>
    <mergeCell ref="Q2:T2"/>
  </mergeCells>
  <phoneticPr fontId="5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44"/>
  <sheetViews>
    <sheetView workbookViewId="0">
      <selection activeCell="N18" sqref="N18"/>
    </sheetView>
  </sheetViews>
  <sheetFormatPr defaultColWidth="8.85546875" defaultRowHeight="12.6"/>
  <cols>
    <col min="2" max="2" width="17" customWidth="1"/>
    <col min="3" max="5" width="14.140625" customWidth="1"/>
    <col min="6" max="7" width="9.42578125" bestFit="1" customWidth="1"/>
    <col min="10" max="10" width="10.28515625" style="12" customWidth="1"/>
    <col min="11" max="12" width="9.5703125" bestFit="1" customWidth="1"/>
    <col min="14" max="15" width="8.85546875" bestFit="1" customWidth="1"/>
    <col min="16" max="16" width="9" bestFit="1" customWidth="1"/>
  </cols>
  <sheetData>
    <row r="1" spans="1:16" ht="12.95">
      <c r="A1" s="1" t="s">
        <v>22</v>
      </c>
      <c r="J1" s="15" t="s">
        <v>23</v>
      </c>
    </row>
    <row r="3" spans="1:16" ht="12.95">
      <c r="B3" s="3" t="s">
        <v>41</v>
      </c>
      <c r="C3" s="3"/>
      <c r="D3" s="3"/>
      <c r="E3" s="3"/>
      <c r="F3" s="3"/>
      <c r="G3" s="3"/>
      <c r="H3" s="3"/>
      <c r="I3" s="3"/>
      <c r="J3" s="82" t="s">
        <v>42</v>
      </c>
      <c r="K3" s="79"/>
      <c r="L3" s="79"/>
      <c r="N3" s="79" t="s">
        <v>43</v>
      </c>
      <c r="O3" s="79"/>
      <c r="P3" s="79"/>
    </row>
    <row r="4" spans="1:16">
      <c r="A4" s="3"/>
      <c r="C4" s="18" t="str">
        <f>Stock_price!B1</f>
        <v>XOM</v>
      </c>
      <c r="D4" s="18" t="str">
        <f>Stock_price!C1</f>
        <v>JNJ</v>
      </c>
      <c r="E4" s="18" t="str">
        <f>Stock_price!D1</f>
        <v>AMD</v>
      </c>
      <c r="F4" s="3"/>
      <c r="G4" s="3"/>
      <c r="J4" s="41" t="s">
        <v>11</v>
      </c>
      <c r="K4" s="20" t="s">
        <v>12</v>
      </c>
      <c r="L4" s="20" t="s">
        <v>13</v>
      </c>
      <c r="M4" s="3"/>
      <c r="N4" s="10" t="s">
        <v>1</v>
      </c>
      <c r="O4" s="10" t="s">
        <v>2</v>
      </c>
      <c r="P4" s="10" t="s">
        <v>3</v>
      </c>
    </row>
    <row r="5" spans="1:16">
      <c r="B5" s="3" t="str">
        <f>C4</f>
        <v>XOM</v>
      </c>
      <c r="C5" s="11">
        <f>_xlfn.COVARIANCE.S(J5:J244, J5:J244)</f>
        <v>4.4357222357373355E-3</v>
      </c>
      <c r="D5" s="9"/>
      <c r="E5" s="9"/>
      <c r="J5" s="51">
        <v>6.6328553203456502E-3</v>
      </c>
      <c r="K5" s="43">
        <v>2.0182888934923499E-2</v>
      </c>
      <c r="L5" s="43">
        <v>-0.28247048763506272</v>
      </c>
      <c r="N5" s="54">
        <v>6.6601217974878932E-2</v>
      </c>
      <c r="O5" s="54">
        <v>4.283040668939337E-2</v>
      </c>
      <c r="P5" s="43">
        <v>0.16934010845783343</v>
      </c>
    </row>
    <row r="6" spans="1:16">
      <c r="B6" s="3" t="str">
        <f>D4</f>
        <v>JNJ</v>
      </c>
      <c r="C6" s="11">
        <f>_xlfn.COVARIANCE.S(K5:K244, J5:J244)</f>
        <v>1.0132291547813475E-3</v>
      </c>
      <c r="D6" s="11">
        <f>_xlfn.COVARIANCE.S(K5:K244, K5:K244)</f>
        <v>1.8344437371788334E-3</v>
      </c>
      <c r="E6" s="9"/>
      <c r="J6" s="47">
        <v>0.22693804739243995</v>
      </c>
      <c r="K6" s="54">
        <v>1.3910379726893605E-2</v>
      </c>
      <c r="L6" s="54">
        <v>0.10443041470164993</v>
      </c>
    </row>
    <row r="7" spans="1:16">
      <c r="B7" s="3" t="str">
        <f>E4</f>
        <v>AMD</v>
      </c>
      <c r="C7" s="11">
        <f>_xlfn.COVARIANCE.S(L5:L244, J5:J244)</f>
        <v>1.5301803651684323E-3</v>
      </c>
      <c r="D7" s="11">
        <f>_xlfn.COVARIANCE.S(L5:L244, K5:K244)</f>
        <v>1.394363817896254E-3</v>
      </c>
      <c r="E7" s="11">
        <f>_xlfn.COVARIANCE.S(L5:L244, L5:L244)</f>
        <v>2.867607233251078E-2</v>
      </c>
      <c r="J7" s="47">
        <v>-5.8600581562063964E-2</v>
      </c>
      <c r="K7" s="43">
        <v>2.3780567443209565E-2</v>
      </c>
      <c r="L7" s="43">
        <v>-7.6217757338482559E-2</v>
      </c>
    </row>
    <row r="8" spans="1:16">
      <c r="A8" s="3"/>
      <c r="J8" s="47">
        <v>-4.3120801352707044E-2</v>
      </c>
      <c r="K8" s="43">
        <v>2.1887931970705671E-2</v>
      </c>
      <c r="L8" s="43">
        <v>-0.11724573192311019</v>
      </c>
    </row>
    <row r="9" spans="1:16">
      <c r="B9" s="3" t="s">
        <v>44</v>
      </c>
      <c r="C9" s="7"/>
      <c r="D9" s="7"/>
      <c r="E9" s="7"/>
      <c r="F9" s="7"/>
      <c r="G9" s="7"/>
      <c r="J9" s="47">
        <v>-1.4553709172771876E-2</v>
      </c>
      <c r="K9" s="43">
        <v>-2.2293440777031021E-2</v>
      </c>
      <c r="L9" s="43">
        <v>0.15249473971191127</v>
      </c>
    </row>
    <row r="10" spans="1:16">
      <c r="B10" s="3"/>
      <c r="C10" s="3" t="str">
        <f>C4</f>
        <v>XOM</v>
      </c>
      <c r="D10" s="3" t="str">
        <f>D4</f>
        <v>JNJ</v>
      </c>
      <c r="E10" s="3" t="str">
        <f>E4</f>
        <v>AMD</v>
      </c>
      <c r="J10" s="51">
        <v>2.2597872607168386E-2</v>
      </c>
      <c r="K10" s="43">
        <v>-3.1296550251502825E-2</v>
      </c>
      <c r="L10" s="43">
        <v>5.7317107068436485E-2</v>
      </c>
    </row>
    <row r="11" spans="1:16">
      <c r="B11" s="3" t="str">
        <f>B5</f>
        <v>XOM</v>
      </c>
      <c r="C11" s="11">
        <f>C5/(N5*N5)</f>
        <v>0.99999999999999978</v>
      </c>
      <c r="D11" s="9"/>
      <c r="E11" s="9"/>
      <c r="J11" s="47">
        <v>2.2272468280995359E-2</v>
      </c>
      <c r="K11" s="43">
        <v>-1.6000014085036058E-2</v>
      </c>
      <c r="L11" s="43">
        <v>0.15801613304537576</v>
      </c>
    </row>
    <row r="12" spans="1:16">
      <c r="B12" s="3" t="str">
        <f>B6</f>
        <v>JNJ</v>
      </c>
      <c r="C12" s="11">
        <f>C6/(O5*N5)</f>
        <v>0.35520028708137485</v>
      </c>
      <c r="D12" s="11">
        <f>D6/(O5*O5)</f>
        <v>1.0000000000000007</v>
      </c>
      <c r="E12" s="9"/>
      <c r="J12" s="47">
        <v>1.9574494057513298E-2</v>
      </c>
      <c r="K12" s="43">
        <v>-8.911815243640233E-3</v>
      </c>
      <c r="L12" s="43">
        <v>3.4362576527852275E-2</v>
      </c>
    </row>
    <row r="13" spans="1:16">
      <c r="B13" s="3" t="str">
        <f>B7</f>
        <v>AMD</v>
      </c>
      <c r="C13" s="11">
        <f>C7/(P5*N5)</f>
        <v>0.13567524668779679</v>
      </c>
      <c r="D13" s="11">
        <f>D7/(P5*O5)</f>
        <v>0.19224899272995535</v>
      </c>
      <c r="E13" s="11">
        <f>E7/(P5*P5)</f>
        <v>0.99999999999999978</v>
      </c>
      <c r="J13" s="47">
        <v>6.0767934840132348E-2</v>
      </c>
      <c r="K13" s="43">
        <v>-1.7352991230589214E-3</v>
      </c>
      <c r="L13" s="43">
        <v>0.21328840671834845</v>
      </c>
    </row>
    <row r="14" spans="1:16">
      <c r="A14" s="3"/>
      <c r="J14" s="47">
        <v>-0.11646209347268925</v>
      </c>
      <c r="K14" s="43">
        <v>-1.0429833440958275E-2</v>
      </c>
      <c r="L14" s="43">
        <v>-7.857148371586016E-2</v>
      </c>
    </row>
    <row r="15" spans="1:16">
      <c r="B15" s="3"/>
      <c r="J15" s="47">
        <v>3.3665824905529503E-2</v>
      </c>
      <c r="K15" s="43">
        <v>-1.3893307996237936E-2</v>
      </c>
      <c r="L15" s="43">
        <v>0.12747636000656154</v>
      </c>
    </row>
    <row r="16" spans="1:16">
      <c r="B16" s="3"/>
      <c r="J16" s="47">
        <v>-3.2052397888644231E-2</v>
      </c>
      <c r="K16" s="43">
        <v>-2.6720672483868928E-2</v>
      </c>
      <c r="L16" s="43">
        <v>0.16883116977734</v>
      </c>
    </row>
    <row r="17" spans="1:12">
      <c r="B17" s="3"/>
      <c r="C17" s="3"/>
      <c r="D17" s="3"/>
      <c r="E17" s="3"/>
      <c r="F17" s="3"/>
      <c r="G17" s="3"/>
      <c r="H17" s="3"/>
      <c r="J17" s="47">
        <v>0.1171444195398349</v>
      </c>
      <c r="K17" s="43">
        <v>-4.2595634335932275E-2</v>
      </c>
      <c r="L17" s="43">
        <v>0.36601302993359247</v>
      </c>
    </row>
    <row r="18" spans="1:12">
      <c r="J18" s="47">
        <v>-5.3864558854426044E-2</v>
      </c>
      <c r="K18" s="43">
        <v>1.9117241675586853E-3</v>
      </c>
      <c r="L18" s="43">
        <v>-7.4880409694843372E-2</v>
      </c>
    </row>
    <row r="19" spans="1:12">
      <c r="A19" s="3"/>
      <c r="C19" s="3"/>
      <c r="D19" s="3"/>
      <c r="E19" s="3"/>
      <c r="J19" s="47">
        <v>2.509687898388337E-2</v>
      </c>
      <c r="K19" s="43">
        <v>2.7233298408837869E-2</v>
      </c>
      <c r="L19" s="43">
        <v>-0.14248767991817785</v>
      </c>
    </row>
    <row r="20" spans="1:12">
      <c r="C20" s="3"/>
      <c r="D20" s="3"/>
      <c r="E20" s="3"/>
      <c r="G20" s="3"/>
      <c r="J20" s="47">
        <v>3.6477180388419669E-2</v>
      </c>
      <c r="K20" s="43">
        <v>-1.0300584224545882E-2</v>
      </c>
      <c r="L20" s="43">
        <v>-2.4427062033120915E-2</v>
      </c>
    </row>
    <row r="21" spans="1:12">
      <c r="A21" s="3"/>
      <c r="B21" s="3"/>
      <c r="J21" s="47">
        <v>-3.4400791386379956E-2</v>
      </c>
      <c r="K21" s="43">
        <v>2.7469725193403391E-2</v>
      </c>
      <c r="L21" s="43">
        <v>-4.5131349407654724E-2</v>
      </c>
    </row>
    <row r="22" spans="1:12">
      <c r="A22" s="3"/>
      <c r="B22" s="3"/>
      <c r="J22" s="47">
        <v>7.2237502513748351E-3</v>
      </c>
      <c r="K22" s="43">
        <v>-4.9817842191387067E-3</v>
      </c>
      <c r="L22" s="43">
        <v>-0.20945287928761361</v>
      </c>
    </row>
    <row r="23" spans="1:12">
      <c r="A23" s="3"/>
      <c r="J23" s="47">
        <v>0.1041564718594719</v>
      </c>
      <c r="K23" s="43">
        <v>4.3891874974693885E-2</v>
      </c>
      <c r="L23" s="43">
        <v>-0.20597873345334061</v>
      </c>
    </row>
    <row r="24" spans="1:12">
      <c r="J24" s="47">
        <v>-1.0333583854695958E-3</v>
      </c>
      <c r="K24" s="43">
        <v>3.3733084744766259E-2</v>
      </c>
      <c r="L24" s="43">
        <v>0.28880869302447465</v>
      </c>
    </row>
    <row r="25" spans="1:12">
      <c r="B25" s="3"/>
      <c r="J25" s="47">
        <v>-8.4232261008956172E-3</v>
      </c>
      <c r="K25" s="43">
        <v>4.3303242103116934E-3</v>
      </c>
      <c r="L25" s="43">
        <v>-5.6022165238368586E-3</v>
      </c>
    </row>
    <row r="26" spans="1:12">
      <c r="J26" s="47">
        <v>6.4381517035210389E-2</v>
      </c>
      <c r="K26" s="43">
        <v>3.7881105512619161E-2</v>
      </c>
      <c r="L26" s="43">
        <v>-0.14406438103621144</v>
      </c>
    </row>
    <row r="27" spans="1:12">
      <c r="A27" s="3"/>
      <c r="J27" s="47">
        <v>7.5469049675670599E-2</v>
      </c>
      <c r="K27" s="43">
        <v>-2.2106792730522885E-2</v>
      </c>
      <c r="L27" s="43">
        <v>1.4104336182609034E-2</v>
      </c>
    </row>
    <row r="28" spans="1:12">
      <c r="C28" s="3"/>
      <c r="D28" s="3"/>
      <c r="E28" s="3"/>
      <c r="J28" s="47">
        <v>-2.3434489115621935E-3</v>
      </c>
      <c r="K28" s="43">
        <v>1.668835910265083E-3</v>
      </c>
      <c r="L28" s="43">
        <v>-5.656000605541197E-2</v>
      </c>
    </row>
    <row r="29" spans="1:12">
      <c r="B29" s="3"/>
      <c r="J29" s="47">
        <v>-3.3015775414033804E-2</v>
      </c>
      <c r="K29" s="43">
        <v>1.1814699308581752E-2</v>
      </c>
      <c r="L29" s="43">
        <v>-0.23587224082342723</v>
      </c>
    </row>
    <row r="30" spans="1:12">
      <c r="B30" s="3"/>
      <c r="J30" s="47">
        <v>-3.2658545462595119E-2</v>
      </c>
      <c r="K30" s="43">
        <v>-5.7934170206302017E-2</v>
      </c>
      <c r="L30" s="43">
        <v>-3.0868198715305651E-2</v>
      </c>
    </row>
    <row r="31" spans="1:12">
      <c r="J31" s="47">
        <v>5.2594819015286572E-2</v>
      </c>
      <c r="K31" s="43">
        <v>-4.2428126024067085E-2</v>
      </c>
      <c r="L31" s="43">
        <v>-0.1333775259396888</v>
      </c>
    </row>
    <row r="32" spans="1:12">
      <c r="J32" s="47">
        <v>5.208748130065155E-2</v>
      </c>
      <c r="K32" s="43">
        <v>6.5715283927494927E-2</v>
      </c>
      <c r="L32" s="43">
        <v>5.8192898222726469E-2</v>
      </c>
    </row>
    <row r="33" spans="10:12">
      <c r="J33" s="47">
        <v>4.7745037120975116E-2</v>
      </c>
      <c r="K33" s="43">
        <v>-1.4792911007189356E-2</v>
      </c>
      <c r="L33" s="43">
        <v>3.2561560989613089E-2</v>
      </c>
    </row>
    <row r="34" spans="10:12">
      <c r="J34" s="47">
        <v>8.5367211747488219E-3</v>
      </c>
      <c r="K34" s="43">
        <v>-2.6078734217496589E-2</v>
      </c>
      <c r="L34" s="43">
        <v>2.1022937637587731E-3</v>
      </c>
    </row>
    <row r="35" spans="10:12">
      <c r="J35" s="47">
        <v>1.4902241785052808E-2</v>
      </c>
      <c r="K35" s="43">
        <v>-1.8175899891248317E-2</v>
      </c>
      <c r="L35" s="43">
        <v>-5.3146868443697572E-2</v>
      </c>
    </row>
    <row r="36" spans="10:12">
      <c r="J36" s="47">
        <v>7.0481160915523786E-3</v>
      </c>
      <c r="K36" s="43">
        <v>2.1322329182270144E-2</v>
      </c>
      <c r="L36" s="43">
        <v>-3.9881828905051576E-2</v>
      </c>
    </row>
    <row r="37" spans="10:12">
      <c r="J37" s="47">
        <v>7.9668656645488931E-2</v>
      </c>
      <c r="K37" s="43">
        <v>6.3278782566457165E-2</v>
      </c>
      <c r="L37" s="43">
        <v>1.5384600712702824E-2</v>
      </c>
    </row>
    <row r="38" spans="10:12">
      <c r="J38" s="47">
        <v>-6.1581645403932603E-3</v>
      </c>
      <c r="K38" s="43">
        <v>-8.0669528754225492E-3</v>
      </c>
      <c r="L38" s="43">
        <v>-9.0909005525025531E-3</v>
      </c>
    </row>
    <row r="39" spans="10:12">
      <c r="J39" s="47">
        <v>-3.076415118360119E-2</v>
      </c>
      <c r="K39" s="43">
        <v>3.9435319426614164E-2</v>
      </c>
      <c r="L39" s="43">
        <v>-0.25382260811845159</v>
      </c>
    </row>
    <row r="40" spans="10:12">
      <c r="J40" s="47">
        <v>5.0807521234120405E-2</v>
      </c>
      <c r="K40" s="43">
        <v>-1.5352833603846098E-2</v>
      </c>
      <c r="L40" s="43">
        <v>-0.23155739506993384</v>
      </c>
    </row>
    <row r="41" spans="10:12">
      <c r="J41" s="47">
        <v>-7.7809806015177688E-2</v>
      </c>
      <c r="K41" s="43">
        <v>-5.3373279182549804E-2</v>
      </c>
      <c r="L41" s="43">
        <v>1.2000020345052083E-2</v>
      </c>
    </row>
    <row r="42" spans="10:12">
      <c r="J42" s="47">
        <v>7.0601921247519014E-3</v>
      </c>
      <c r="K42" s="43">
        <v>-1.8688633458701583E-2</v>
      </c>
      <c r="L42" s="43">
        <v>-5.0065890224172516E-2</v>
      </c>
    </row>
    <row r="43" spans="10:12">
      <c r="J43" s="47">
        <v>-2.7927827209694354E-2</v>
      </c>
      <c r="K43" s="43">
        <v>4.6965844175401707E-2</v>
      </c>
      <c r="L43" s="43">
        <v>-0.18307907970561224</v>
      </c>
    </row>
    <row r="44" spans="10:12">
      <c r="J44" s="47">
        <v>0.10037831260311364</v>
      </c>
      <c r="K44" s="43">
        <v>3.4222190493518427E-2</v>
      </c>
      <c r="L44" s="43">
        <v>1.1884579498835229E-2</v>
      </c>
    </row>
    <row r="45" spans="10:12">
      <c r="J45" s="47">
        <v>-4.6309203532031773E-2</v>
      </c>
      <c r="K45" s="43">
        <v>-5.2168503983569909E-3</v>
      </c>
      <c r="L45" s="43">
        <v>0.15436242792038354</v>
      </c>
    </row>
    <row r="46" spans="10:12">
      <c r="J46" s="47">
        <v>-7.097846638687063E-3</v>
      </c>
      <c r="K46" s="43">
        <v>-3.5960467526202466E-2</v>
      </c>
      <c r="L46" s="43">
        <v>-0.15261630425426065</v>
      </c>
    </row>
    <row r="47" spans="10:12">
      <c r="J47" s="47">
        <v>-8.7370897403988707E-2</v>
      </c>
      <c r="K47" s="43">
        <v>6.4190318897800261E-2</v>
      </c>
      <c r="L47" s="43">
        <v>-0.27787305433260956</v>
      </c>
    </row>
    <row r="48" spans="10:12">
      <c r="J48" s="47">
        <v>-5.2219093292516757E-3</v>
      </c>
      <c r="K48" s="43">
        <v>2.8625661596746337E-2</v>
      </c>
      <c r="L48" s="43">
        <v>0.49406173512092522</v>
      </c>
    </row>
    <row r="49" spans="10:12">
      <c r="J49" s="47">
        <v>-2.9371308728624035E-2</v>
      </c>
      <c r="K49" s="43">
        <v>-1.6328290797897306E-2</v>
      </c>
      <c r="L49" s="43">
        <v>-0.16534180733868312</v>
      </c>
    </row>
    <row r="50" spans="10:12">
      <c r="J50" s="47">
        <v>-4.5583321511669259E-2</v>
      </c>
      <c r="K50" s="43">
        <v>-0.11460737249726562</v>
      </c>
      <c r="L50" s="43">
        <v>-0.33333333333333331</v>
      </c>
    </row>
    <row r="51" spans="10:12">
      <c r="J51" s="47">
        <v>8.1354540688747368E-2</v>
      </c>
      <c r="K51" s="43">
        <v>-4.499508175199704E-2</v>
      </c>
      <c r="L51" s="43">
        <v>-0.32571431568690706</v>
      </c>
    </row>
    <row r="52" spans="10:12">
      <c r="J52" s="47">
        <v>-3.9925101526154926E-3</v>
      </c>
      <c r="K52" s="43">
        <v>2.1338340063645142E-2</v>
      </c>
      <c r="L52" s="43">
        <v>-8.47456856590309E-2</v>
      </c>
    </row>
    <row r="53" spans="10:12">
      <c r="J53" s="47">
        <v>-4.19641537928402E-2</v>
      </c>
      <c r="K53" s="43">
        <v>-3.5768061822704762E-2</v>
      </c>
      <c r="L53" s="43">
        <v>1.3888875091517962E-2</v>
      </c>
    </row>
    <row r="54" spans="10:12">
      <c r="J54" s="47">
        <v>-0.11218621148604897</v>
      </c>
      <c r="K54" s="43">
        <v>-0.13329864464841074</v>
      </c>
      <c r="L54" s="43">
        <v>-4.566205571678748E-3</v>
      </c>
    </row>
    <row r="55" spans="10:12">
      <c r="J55" s="47">
        <v>2.9454630890687408E-3</v>
      </c>
      <c r="K55" s="43">
        <v>5.1999969482421873E-2</v>
      </c>
      <c r="L55" s="43">
        <v>0.39908250409057366</v>
      </c>
    </row>
    <row r="56" spans="10:12">
      <c r="J56" s="47">
        <v>-2.0998536523010355E-2</v>
      </c>
      <c r="K56" s="43">
        <v>-4.5626971621987571E-3</v>
      </c>
      <c r="L56" s="43">
        <v>0.18360654148674857</v>
      </c>
    </row>
    <row r="57" spans="10:12">
      <c r="J57" s="47">
        <v>4.0197995781918551E-2</v>
      </c>
      <c r="K57" s="43">
        <v>5.3475920634481193E-2</v>
      </c>
      <c r="L57" s="43">
        <v>0.25761775451035462</v>
      </c>
    </row>
    <row r="58" spans="10:12">
      <c r="J58" s="47">
        <v>8.0750569619299252E-3</v>
      </c>
      <c r="K58" s="43">
        <v>2.9731678647301155E-2</v>
      </c>
      <c r="L58" s="43">
        <v>-0.1475771105558514</v>
      </c>
    </row>
    <row r="59" spans="10:12">
      <c r="J59" s="47">
        <v>6.8659090601538054E-3</v>
      </c>
      <c r="K59" s="43">
        <v>7.2007045907128642E-2</v>
      </c>
      <c r="L59" s="43">
        <v>-5.4263515746346282E-2</v>
      </c>
    </row>
    <row r="60" spans="10:12">
      <c r="J60" s="47">
        <v>-1.7616108460314684E-2</v>
      </c>
      <c r="K60" s="43">
        <v>-7.3903886919065263E-3</v>
      </c>
      <c r="L60" s="43">
        <v>0.19125683914426492</v>
      </c>
    </row>
    <row r="61" spans="10:12">
      <c r="J61" s="47">
        <v>-7.8091236964796329E-3</v>
      </c>
      <c r="K61" s="43">
        <v>7.4454131893476536E-3</v>
      </c>
      <c r="L61" s="43">
        <v>0.29816506286430605</v>
      </c>
    </row>
    <row r="62" spans="10:12">
      <c r="J62" s="47">
        <v>4.4599876568607283E-2</v>
      </c>
      <c r="K62" s="43">
        <v>-3.0218429479910599E-2</v>
      </c>
      <c r="L62" s="43">
        <v>-0.18727914688269806</v>
      </c>
    </row>
    <row r="63" spans="10:12">
      <c r="J63" s="47">
        <v>4.7439676471934533E-2</v>
      </c>
      <c r="K63" s="43">
        <v>6.4182912184504989E-2</v>
      </c>
      <c r="L63" s="43">
        <v>0.52391312482902541</v>
      </c>
    </row>
    <row r="64" spans="10:12">
      <c r="J64" s="47">
        <v>-9.1647759176590446E-2</v>
      </c>
      <c r="K64" s="43">
        <v>2.4984142356925632E-2</v>
      </c>
      <c r="L64" s="43">
        <v>0.38088444923201331</v>
      </c>
    </row>
    <row r="65" spans="10:12">
      <c r="J65" s="47">
        <v>-5.5140079214124282E-2</v>
      </c>
      <c r="K65" s="43">
        <v>-2.4064632256334376E-2</v>
      </c>
      <c r="L65" s="43">
        <v>-0.22933886333059317</v>
      </c>
    </row>
    <row r="66" spans="10:12">
      <c r="J66" s="47">
        <v>8.8468057135556097E-3</v>
      </c>
      <c r="K66" s="43">
        <v>2.227161760882689E-3</v>
      </c>
      <c r="L66" s="43">
        <v>6.0321689941561243E-2</v>
      </c>
    </row>
    <row r="67" spans="10:12">
      <c r="J67" s="47">
        <v>3.0461590106670672E-2</v>
      </c>
      <c r="K67" s="43">
        <v>3.4920586480034724E-2</v>
      </c>
      <c r="L67" s="43">
        <v>0.17193434090855383</v>
      </c>
    </row>
    <row r="68" spans="10:12">
      <c r="J68" s="47">
        <v>1.1794464713938156E-2</v>
      </c>
      <c r="K68" s="43">
        <v>-1.3803588015484395E-2</v>
      </c>
      <c r="L68" s="43">
        <v>-2.1575054267872391E-2</v>
      </c>
    </row>
    <row r="69" spans="10:12">
      <c r="J69" s="47">
        <v>-0.10786480626661858</v>
      </c>
      <c r="K69" s="43">
        <v>-9.331265209843935E-2</v>
      </c>
      <c r="L69" s="43">
        <v>-5.5126793475563644E-2</v>
      </c>
    </row>
    <row r="70" spans="10:12">
      <c r="J70" s="47">
        <v>-5.6070119764838992E-2</v>
      </c>
      <c r="K70" s="43">
        <v>1.3036057395818031E-2</v>
      </c>
      <c r="L70" s="43">
        <v>-0.14585759249417113</v>
      </c>
    </row>
    <row r="71" spans="10:12">
      <c r="J71" s="47">
        <v>4.5733320909554308E-2</v>
      </c>
      <c r="K71" s="43">
        <v>-1.6423995904981357E-2</v>
      </c>
      <c r="L71" s="43">
        <v>2.3223988452202905E-2</v>
      </c>
    </row>
    <row r="72" spans="10:12">
      <c r="J72" s="47">
        <v>-9.5509331754273664E-3</v>
      </c>
      <c r="K72" s="43">
        <v>-1.8419688277045917E-2</v>
      </c>
      <c r="L72" s="43">
        <v>-0.25100129439965246</v>
      </c>
    </row>
    <row r="73" spans="10:12">
      <c r="J73" s="47">
        <v>4.5339202799914192E-2</v>
      </c>
      <c r="K73" s="43">
        <v>8.6636243196247978E-2</v>
      </c>
      <c r="L73" s="43">
        <v>0.26737967278092017</v>
      </c>
    </row>
    <row r="74" spans="10:12">
      <c r="J74" s="47">
        <v>7.6064037523927513E-2</v>
      </c>
      <c r="K74" s="43">
        <v>2.8728254039632712E-2</v>
      </c>
      <c r="L74" s="43">
        <v>3.164555561285947E-2</v>
      </c>
    </row>
    <row r="75" spans="10:12">
      <c r="J75" s="47">
        <v>4.6172353639028538E-2</v>
      </c>
      <c r="K75" s="43">
        <v>-3.435836811636131E-2</v>
      </c>
      <c r="L75" s="43">
        <v>-6.1349796946031914E-3</v>
      </c>
    </row>
    <row r="76" spans="10:12">
      <c r="J76" s="47">
        <v>5.1178914792075959E-2</v>
      </c>
      <c r="K76" s="43">
        <v>4.8740737738289207E-3</v>
      </c>
      <c r="L76" s="43">
        <v>0.12208509574484647</v>
      </c>
    </row>
    <row r="77" spans="10:12">
      <c r="J77" s="47">
        <v>0.10339164762883081</v>
      </c>
      <c r="K77" s="43">
        <v>-3.3629718151532734E-2</v>
      </c>
      <c r="L77" s="43">
        <v>-4.2787331101719971E-2</v>
      </c>
    </row>
    <row r="78" spans="10:12">
      <c r="J78" s="47">
        <v>6.0114011598608741E-2</v>
      </c>
      <c r="K78" s="43">
        <v>2.7940407497995801E-2</v>
      </c>
      <c r="L78" s="43">
        <v>0.17624522706096574</v>
      </c>
    </row>
    <row r="79" spans="10:12">
      <c r="J79" s="47">
        <v>-1.6368543737402534E-2</v>
      </c>
      <c r="K79" s="43">
        <v>-3.5644509694975089E-2</v>
      </c>
      <c r="L79" s="43">
        <v>-6.6232318583136121E-2</v>
      </c>
    </row>
    <row r="80" spans="10:12">
      <c r="J80" s="47">
        <v>4.5762584443198827E-2</v>
      </c>
      <c r="K80" s="43">
        <v>0.10919833283887131</v>
      </c>
      <c r="L80" s="43">
        <v>5.8139532304828899E-2</v>
      </c>
    </row>
    <row r="81" spans="10:12">
      <c r="J81" s="47">
        <v>-5.1261672700027704E-2</v>
      </c>
      <c r="K81" s="43">
        <v>2.3889221936435955E-2</v>
      </c>
      <c r="L81" s="43">
        <v>-4.6153852603038219E-2</v>
      </c>
    </row>
    <row r="82" spans="10:12">
      <c r="J82" s="47">
        <v>-2.503898330801475E-2</v>
      </c>
      <c r="K82" s="43">
        <v>-1.1443071213917267E-2</v>
      </c>
      <c r="L82" s="43">
        <v>-0.19470051551149023</v>
      </c>
    </row>
    <row r="83" spans="10:12">
      <c r="J83" s="47">
        <v>-1.9537925676494722E-2</v>
      </c>
      <c r="K83" s="43">
        <v>-2.6007152959160371E-2</v>
      </c>
      <c r="L83" s="43">
        <v>5.0071586971416782E-2</v>
      </c>
    </row>
    <row r="84" spans="10:12">
      <c r="J84" s="47">
        <v>-7.2314879135915375E-2</v>
      </c>
      <c r="K84" s="43">
        <v>1.5588858187350561E-2</v>
      </c>
      <c r="L84" s="43">
        <v>-6.9482318566713289E-2</v>
      </c>
    </row>
    <row r="85" spans="10:12">
      <c r="J85" s="47">
        <v>-1.8778701063054445E-2</v>
      </c>
      <c r="K85" s="43">
        <v>-3.2066935063652102E-2</v>
      </c>
      <c r="L85" s="43">
        <v>-0.25622255044630005</v>
      </c>
    </row>
    <row r="86" spans="10:12">
      <c r="J86" s="47">
        <v>7.517553753199005E-2</v>
      </c>
      <c r="K86" s="43">
        <v>1.099074859527319E-2</v>
      </c>
      <c r="L86" s="43">
        <v>0.1476377974928878</v>
      </c>
    </row>
    <row r="87" spans="10:12">
      <c r="J87" s="47">
        <v>3.0093561451165814E-2</v>
      </c>
      <c r="K87" s="43">
        <v>5.1250478984744292E-3</v>
      </c>
      <c r="L87" s="43">
        <v>-2.4013699539913478E-2</v>
      </c>
    </row>
    <row r="88" spans="10:12">
      <c r="J88" s="47">
        <v>5.3704619141091821E-2</v>
      </c>
      <c r="K88" s="43">
        <v>1.3288019068770644E-2</v>
      </c>
      <c r="L88" s="43">
        <v>-5.0966600867608972E-2</v>
      </c>
    </row>
    <row r="89" spans="10:12">
      <c r="J89" s="47">
        <v>-1.2034028394920709E-2</v>
      </c>
      <c r="K89" s="43">
        <v>5.0320497383459784E-3</v>
      </c>
      <c r="L89" s="43">
        <v>0.2425925777118722</v>
      </c>
    </row>
    <row r="90" spans="10:12">
      <c r="J90" s="47">
        <v>3.2959185653676684E-2</v>
      </c>
      <c r="K90" s="43">
        <v>-1.2592956834135976E-2</v>
      </c>
      <c r="L90" s="43">
        <v>9.538000936619033E-2</v>
      </c>
    </row>
    <row r="91" spans="10:12">
      <c r="J91" s="47">
        <v>2.6589983460531068E-3</v>
      </c>
      <c r="K91" s="43">
        <v>1.3521776715716903E-2</v>
      </c>
      <c r="L91" s="43">
        <v>9.1156539023737215E-2</v>
      </c>
    </row>
    <row r="92" spans="10:12">
      <c r="J92" s="47">
        <v>-4.4967946955785489E-3</v>
      </c>
      <c r="K92" s="43">
        <v>-1.3038214407040696E-2</v>
      </c>
      <c r="L92" s="43">
        <v>-8.2294300072060678E-2</v>
      </c>
    </row>
    <row r="93" spans="10:12">
      <c r="J93" s="47">
        <v>-8.9298116880844658E-2</v>
      </c>
      <c r="K93" s="43">
        <v>-4.1013797719314918E-2</v>
      </c>
      <c r="L93" s="43">
        <v>-0.17391306882995242</v>
      </c>
    </row>
    <row r="94" spans="10:12">
      <c r="J94" s="47">
        <v>8.8261511939765142E-2</v>
      </c>
      <c r="K94" s="43">
        <v>8.2171988280331065E-2</v>
      </c>
      <c r="L94" s="43">
        <v>-5.7565774510606647E-2</v>
      </c>
    </row>
    <row r="95" spans="10:12">
      <c r="J95" s="47">
        <v>1.4958499285518834E-2</v>
      </c>
      <c r="K95" s="43">
        <v>2.4570807017417064E-2</v>
      </c>
      <c r="L95" s="43">
        <v>-0.29144852892408479</v>
      </c>
    </row>
    <row r="96" spans="10:12">
      <c r="J96" s="47">
        <v>5.1813999486805713E-3</v>
      </c>
      <c r="K96" s="43">
        <v>-2.585959092690639E-2</v>
      </c>
      <c r="L96" s="43">
        <v>-8.3743822404229423E-2</v>
      </c>
    </row>
    <row r="97" spans="10:12">
      <c r="J97" s="47">
        <v>4.7537156373568E-2</v>
      </c>
      <c r="K97" s="43">
        <v>2.1948737212448031E-2</v>
      </c>
      <c r="L97" s="43">
        <v>-9.4086059236377348E-2</v>
      </c>
    </row>
    <row r="98" spans="10:12">
      <c r="J98" s="47">
        <v>-3.0617691486129351E-3</v>
      </c>
      <c r="K98" s="43">
        <v>2.7717253391543031E-2</v>
      </c>
      <c r="L98" s="43">
        <v>-0.39169138815083676</v>
      </c>
    </row>
    <row r="99" spans="10:12">
      <c r="J99" s="47">
        <v>-3.3234603928389297E-2</v>
      </c>
      <c r="K99" s="43">
        <v>-1.5391080804682437E-2</v>
      </c>
      <c r="L99" s="43">
        <v>7.3170779929993324E-2</v>
      </c>
    </row>
    <row r="100" spans="10:12">
      <c r="J100" s="47">
        <v>-1.8039441217393079E-2</v>
      </c>
      <c r="K100" s="43">
        <v>5.3061107037894557E-3</v>
      </c>
      <c r="L100" s="43">
        <v>9.090911061310529E-2</v>
      </c>
    </row>
    <row r="101" spans="10:12">
      <c r="J101" s="47">
        <v>3.9514708819826584E-2</v>
      </c>
      <c r="K101" s="43">
        <v>5.4493577431880443E-2</v>
      </c>
      <c r="L101" s="43">
        <v>8.3333250549107771E-2</v>
      </c>
    </row>
    <row r="102" spans="10:12">
      <c r="J102" s="47">
        <v>-4.6682023257399504E-3</v>
      </c>
      <c r="K102" s="43">
        <v>2.9626657138180187E-2</v>
      </c>
      <c r="L102" s="43">
        <v>-4.2307653511768246E-2</v>
      </c>
    </row>
    <row r="103" spans="10:12">
      <c r="J103" s="47">
        <v>6.2534621944131535E-3</v>
      </c>
      <c r="K103" s="43">
        <v>7.1212693804763277E-2</v>
      </c>
      <c r="L103" s="43">
        <v>2.409636246977518E-2</v>
      </c>
    </row>
    <row r="104" spans="10:12">
      <c r="J104" s="47">
        <v>-1.2429283531192971E-2</v>
      </c>
      <c r="K104" s="43">
        <v>4.5382124776583099E-2</v>
      </c>
      <c r="L104" s="43">
        <v>0.10588234744132448</v>
      </c>
    </row>
    <row r="105" spans="10:12">
      <c r="J105" s="47">
        <v>1.6631120265889421E-2</v>
      </c>
      <c r="K105" s="43">
        <v>-1.2319641093530394E-2</v>
      </c>
      <c r="L105" s="43">
        <v>0.41843974989045002</v>
      </c>
    </row>
    <row r="106" spans="10:12">
      <c r="J106" s="47">
        <v>-1.3264368847446181E-3</v>
      </c>
      <c r="K106" s="43">
        <v>1.9957238050431404E-2</v>
      </c>
      <c r="L106" s="43">
        <v>1.9999980926513672E-2</v>
      </c>
    </row>
    <row r="107" spans="10:12">
      <c r="J107" s="47">
        <v>3.7631450838958976E-2</v>
      </c>
      <c r="K107" s="43">
        <v>8.8982056083602379E-2</v>
      </c>
      <c r="L107" s="43">
        <v>-7.5980379553035285E-2</v>
      </c>
    </row>
    <row r="108" spans="10:12">
      <c r="J108" s="47">
        <v>-7.0293294270833334E-2</v>
      </c>
      <c r="K108" s="43">
        <v>-7.5828837838402413E-2</v>
      </c>
      <c r="L108" s="43">
        <v>-0.13262599536595229</v>
      </c>
    </row>
    <row r="109" spans="10:12">
      <c r="J109" s="47">
        <v>-1.2849962133135205E-2</v>
      </c>
      <c r="K109" s="43">
        <v>3.2403514342130963E-3</v>
      </c>
      <c r="L109" s="43">
        <v>0.16513760397638447</v>
      </c>
    </row>
    <row r="110" spans="10:12">
      <c r="J110" s="47">
        <v>4.1608574999545553E-2</v>
      </c>
      <c r="K110" s="43">
        <v>6.8289283680048773E-2</v>
      </c>
      <c r="L110" s="43">
        <v>-0.12335958941441517</v>
      </c>
    </row>
    <row r="111" spans="10:12">
      <c r="J111" s="47">
        <v>4.3070748628143474E-2</v>
      </c>
      <c r="K111" s="43">
        <v>2.2135871269270586E-2</v>
      </c>
      <c r="L111" s="43">
        <v>8.9820418695871748E-2</v>
      </c>
    </row>
    <row r="112" spans="10:12">
      <c r="J112" s="47">
        <v>8.2584438533142041E-2</v>
      </c>
      <c r="K112" s="43">
        <v>-3.2431937517953174E-2</v>
      </c>
      <c r="L112" s="43">
        <v>6.3186751106140998E-2</v>
      </c>
    </row>
    <row r="113" spans="10:12">
      <c r="J113" s="47">
        <v>-8.9327999592294788E-2</v>
      </c>
      <c r="K113" s="43">
        <v>-3.4064802292133767E-2</v>
      </c>
      <c r="L113" s="43">
        <v>-0.11369504698016678</v>
      </c>
    </row>
    <row r="114" spans="10:12">
      <c r="J114" s="47">
        <v>4.4596276233079317E-2</v>
      </c>
      <c r="K114" s="43">
        <v>4.1256939928975139E-2</v>
      </c>
      <c r="L114" s="43">
        <v>8.1632643131254706E-2</v>
      </c>
    </row>
    <row r="115" spans="10:12">
      <c r="J115" s="47">
        <v>1.4646345811531996E-2</v>
      </c>
      <c r="K115" s="43">
        <v>6.6326535260315816E-2</v>
      </c>
      <c r="L115" s="43">
        <v>8.0862584272291232E-2</v>
      </c>
    </row>
    <row r="116" spans="10:12">
      <c r="J116" s="47">
        <v>4.8423457638778943E-2</v>
      </c>
      <c r="K116" s="43">
        <v>3.1151353497106026E-2</v>
      </c>
      <c r="L116" s="43">
        <v>1.9950104523650408E-2</v>
      </c>
    </row>
    <row r="117" spans="10:12">
      <c r="J117" s="47">
        <v>-1.835762928996049E-2</v>
      </c>
      <c r="K117" s="43">
        <v>1.6783312015870707E-3</v>
      </c>
      <c r="L117" s="43">
        <v>-2.200492646215289E-2</v>
      </c>
    </row>
    <row r="118" spans="10:12">
      <c r="J118" s="47">
        <v>1.4921071093238441E-3</v>
      </c>
      <c r="K118" s="43">
        <v>3.1145315302816508E-2</v>
      </c>
      <c r="L118" s="43">
        <v>4.7500014305114746E-2</v>
      </c>
    </row>
    <row r="119" spans="10:12">
      <c r="J119" s="47">
        <v>-1.728245787142773E-2</v>
      </c>
      <c r="K119" s="43">
        <v>-4.3299620433621171E-2</v>
      </c>
      <c r="L119" s="43">
        <v>-6.6825767915505818E-2</v>
      </c>
    </row>
    <row r="120" spans="10:12">
      <c r="J120" s="47">
        <v>5.2556764729650785E-3</v>
      </c>
      <c r="K120" s="43">
        <v>3.6367340915417615E-2</v>
      </c>
      <c r="L120" s="43">
        <v>6.6496159784103753E-2</v>
      </c>
    </row>
    <row r="121" spans="10:12">
      <c r="J121" s="47">
        <v>-5.4393686733498404E-2</v>
      </c>
      <c r="K121" s="43">
        <v>2.7571511504880922E-2</v>
      </c>
      <c r="L121" s="43">
        <v>-0.18225419102119078</v>
      </c>
    </row>
    <row r="122" spans="10:12">
      <c r="J122" s="47">
        <v>2.8282785182377812E-2</v>
      </c>
      <c r="K122" s="43">
        <v>1.1164297610386799E-2</v>
      </c>
      <c r="L122" s="43">
        <v>-0.17888566514971393</v>
      </c>
    </row>
    <row r="123" spans="10:12">
      <c r="J123" s="47">
        <v>-6.3798968331661793E-2</v>
      </c>
      <c r="K123" s="43">
        <v>4.3607462054769111E-3</v>
      </c>
      <c r="L123" s="43">
        <v>-3.5714252262698792E-3</v>
      </c>
    </row>
    <row r="124" spans="10:12">
      <c r="J124" s="47">
        <v>2.1095604300875207E-2</v>
      </c>
      <c r="K124" s="43">
        <v>-3.399538388153147E-2</v>
      </c>
      <c r="L124" s="43">
        <v>-4.3010712257996596E-2</v>
      </c>
    </row>
    <row r="125" spans="10:12">
      <c r="J125" s="47">
        <v>-5.4407776585573088E-2</v>
      </c>
      <c r="K125" s="43">
        <v>-4.2363969762878824E-2</v>
      </c>
      <c r="L125" s="43">
        <v>-3.7453236027600117E-2</v>
      </c>
    </row>
    <row r="126" spans="10:12">
      <c r="J126" s="47">
        <v>1.2811745253271991E-2</v>
      </c>
      <c r="K126" s="43">
        <v>2.3666893958729347E-2</v>
      </c>
      <c r="L126" s="43">
        <v>0.21011672213223029</v>
      </c>
    </row>
    <row r="127" spans="10:12">
      <c r="J127" s="47">
        <v>-3.9981938998450255E-2</v>
      </c>
      <c r="K127" s="43">
        <v>-1.8632363889438605E-2</v>
      </c>
      <c r="L127" s="43">
        <v>-0.13826361506207507</v>
      </c>
    </row>
    <row r="128" spans="10:12">
      <c r="J128" s="47">
        <v>2.7882385253906249E-2</v>
      </c>
      <c r="K128" s="43">
        <v>-1.3916516372900846E-2</v>
      </c>
      <c r="L128" s="43">
        <v>-0.15671644247462466</v>
      </c>
    </row>
    <row r="129" spans="10:12">
      <c r="J129" s="47">
        <v>-2.4836966122502906E-2</v>
      </c>
      <c r="K129" s="43">
        <v>9.4758313540745202E-3</v>
      </c>
      <c r="L129" s="43">
        <v>8.8495491198714825E-3</v>
      </c>
    </row>
    <row r="130" spans="10:12">
      <c r="J130" s="47">
        <v>-2.3474179244571711E-2</v>
      </c>
      <c r="K130" s="43">
        <v>-2.6762535665172126E-2</v>
      </c>
      <c r="L130" s="43">
        <v>5.2631633983975551E-2</v>
      </c>
    </row>
    <row r="131" spans="10:12">
      <c r="J131" s="47">
        <v>-4.7956706852425313E-2</v>
      </c>
      <c r="K131" s="43">
        <v>2.8216704554003331E-2</v>
      </c>
      <c r="L131" s="43">
        <v>-0.19583338714307996</v>
      </c>
    </row>
    <row r="132" spans="10:12">
      <c r="J132" s="47">
        <v>-5.0119950341993562E-2</v>
      </c>
      <c r="K132" s="43">
        <v>-6.2169402100158165E-2</v>
      </c>
      <c r="L132" s="43">
        <v>-6.217616996354481E-2</v>
      </c>
    </row>
    <row r="133" spans="10:12">
      <c r="J133" s="47">
        <v>-1.1828806684177229E-2</v>
      </c>
      <c r="K133" s="43">
        <v>-6.703605664066194E-3</v>
      </c>
      <c r="L133" s="43">
        <v>-4.9723711057748671E-2</v>
      </c>
    </row>
    <row r="134" spans="10:12">
      <c r="J134" s="47">
        <v>0.11284464777183195</v>
      </c>
      <c r="K134" s="43">
        <v>8.2271027645542658E-2</v>
      </c>
      <c r="L134" s="43">
        <v>0.23255805249727518</v>
      </c>
    </row>
    <row r="135" spans="10:12">
      <c r="J135" s="47">
        <v>-1.3052867168770714E-2</v>
      </c>
      <c r="K135" s="43">
        <v>2.0785814808471459E-3</v>
      </c>
      <c r="L135" s="43">
        <v>0.11320755777939623</v>
      </c>
    </row>
    <row r="136" spans="10:12">
      <c r="J136" s="47">
        <v>-4.543236036601659E-2</v>
      </c>
      <c r="K136" s="43">
        <v>1.4618761242222807E-2</v>
      </c>
      <c r="L136" s="43">
        <v>0.2161017004801811</v>
      </c>
    </row>
    <row r="137" spans="10:12">
      <c r="J137" s="47">
        <v>-1.2828541120725313E-3</v>
      </c>
      <c r="K137" s="43">
        <v>1.6744559971407596E-2</v>
      </c>
      <c r="L137" s="43">
        <v>-0.23344943017126596</v>
      </c>
    </row>
    <row r="138" spans="10:12">
      <c r="J138" s="47">
        <v>2.9544034641469902E-2</v>
      </c>
      <c r="K138" s="43">
        <v>7.3726218409310724E-3</v>
      </c>
      <c r="L138" s="43">
        <v>-2.7272700672307866E-2</v>
      </c>
    </row>
    <row r="139" spans="10:12">
      <c r="J139" s="47">
        <v>4.2919460343378908E-2</v>
      </c>
      <c r="K139" s="43">
        <v>2.841933171550429E-2</v>
      </c>
      <c r="L139" s="43">
        <v>0.33177559108586402</v>
      </c>
    </row>
    <row r="140" spans="10:12">
      <c r="J140" s="47">
        <v>5.7542832859390228E-2</v>
      </c>
      <c r="K140" s="43">
        <v>3.5859565547571248E-2</v>
      </c>
      <c r="L140" s="43">
        <v>0.24561406003764838</v>
      </c>
    </row>
    <row r="141" spans="10:12">
      <c r="J141" s="47">
        <v>7.0135193041370907E-3</v>
      </c>
      <c r="K141" s="43">
        <v>5.4425463988754677E-3</v>
      </c>
      <c r="L141" s="43">
        <v>0.28732400930866736</v>
      </c>
    </row>
    <row r="142" spans="10:12">
      <c r="J142" s="47">
        <v>5.3021808567668111E-2</v>
      </c>
      <c r="K142" s="43">
        <v>7.6404298729413705E-2</v>
      </c>
      <c r="L142" s="43">
        <v>0.1247264055609436</v>
      </c>
    </row>
    <row r="143" spans="10:12">
      <c r="J143" s="47">
        <v>-5.1098794801431043E-2</v>
      </c>
      <c r="K143" s="43">
        <v>3.2399012417987157E-2</v>
      </c>
      <c r="L143" s="43">
        <v>0.33463041083789663</v>
      </c>
    </row>
    <row r="144" spans="10:12">
      <c r="J144" s="47">
        <v>-2.0348483650279865E-2</v>
      </c>
      <c r="K144" s="43">
        <v>-4.7033513224902887E-2</v>
      </c>
      <c r="L144" s="43">
        <v>7.8717194073345195E-2</v>
      </c>
    </row>
    <row r="145" spans="10:12">
      <c r="J145" s="47">
        <v>1.6066030597777163E-3</v>
      </c>
      <c r="K145" s="43">
        <v>-1.0139091013935952E-2</v>
      </c>
      <c r="L145" s="43">
        <v>-6.6216248870330896E-2</v>
      </c>
    </row>
    <row r="146" spans="10:12">
      <c r="J146" s="47">
        <v>-4.5371209210098913E-2</v>
      </c>
      <c r="K146" s="43">
        <v>-1.8115630571442502E-2</v>
      </c>
      <c r="L146" s="43">
        <v>4.6309721957696053E-2</v>
      </c>
    </row>
    <row r="147" spans="10:12">
      <c r="J147" s="47">
        <v>4.7767683287459596E-2</v>
      </c>
      <c r="K147" s="43">
        <v>-4.043447623406396E-2</v>
      </c>
      <c r="L147" s="43">
        <v>0.23236512087228356</v>
      </c>
    </row>
    <row r="148" spans="10:12">
      <c r="J148" s="47">
        <v>3.3906059347074163E-2</v>
      </c>
      <c r="K148" s="43">
        <v>3.5130241918291588E-2</v>
      </c>
      <c r="L148" s="43">
        <v>0.27272731164878411</v>
      </c>
    </row>
    <row r="149" spans="10:12">
      <c r="J149" s="47">
        <v>-7.0573926388431851E-2</v>
      </c>
      <c r="K149" s="43">
        <v>-1.7012404305598278E-2</v>
      </c>
      <c r="L149" s="43">
        <v>-8.5537941267791406E-2</v>
      </c>
    </row>
    <row r="150" spans="10:12">
      <c r="J150" s="47">
        <v>-3.0635352408183977E-2</v>
      </c>
      <c r="K150" s="43">
        <v>7.9116989708367821E-2</v>
      </c>
      <c r="L150" s="43">
        <v>0.39440696217205262</v>
      </c>
    </row>
    <row r="151" spans="10:12">
      <c r="J151" s="47">
        <v>8.4850275946344676E-3</v>
      </c>
      <c r="K151" s="43">
        <v>1.9147401888676262E-2</v>
      </c>
      <c r="L151" s="43">
        <v>6.2240769260346425E-3</v>
      </c>
    </row>
    <row r="152" spans="10:12">
      <c r="J152" s="47">
        <v>-4.3897159001843392E-3</v>
      </c>
      <c r="K152" s="43">
        <v>-8.6712308678618295E-3</v>
      </c>
      <c r="L152" s="43">
        <v>-8.5910651794765883E-2</v>
      </c>
    </row>
    <row r="153" spans="10:12">
      <c r="J153" s="47">
        <v>-1.4084525467086662E-2</v>
      </c>
      <c r="K153" s="43">
        <v>3.8713847347847739E-2</v>
      </c>
      <c r="L153" s="43">
        <v>-0.15864666015730178</v>
      </c>
    </row>
    <row r="154" spans="10:12">
      <c r="J154" s="47">
        <v>2.857184558181289E-3</v>
      </c>
      <c r="K154" s="43">
        <v>3.1500922309027776E-2</v>
      </c>
      <c r="L154" s="43">
        <v>0.11528150225442992</v>
      </c>
    </row>
    <row r="155" spans="10:12">
      <c r="J155" s="47">
        <v>-8.5470384332269229E-3</v>
      </c>
      <c r="K155" s="43">
        <v>3.2504947947214666E-3</v>
      </c>
      <c r="L155" s="43">
        <v>9.0544884285983701E-2</v>
      </c>
    </row>
    <row r="156" spans="10:12">
      <c r="J156" s="47">
        <v>-4.6351812119394112E-2</v>
      </c>
      <c r="K156" s="43">
        <v>-2.637176765343694E-3</v>
      </c>
      <c r="L156" s="43">
        <v>-4.4819961209769187E-2</v>
      </c>
    </row>
    <row r="157" spans="10:12">
      <c r="J157" s="47">
        <v>7.4020717808763584E-2</v>
      </c>
      <c r="K157" s="43">
        <v>-1.7828818443804035E-2</v>
      </c>
      <c r="L157" s="43">
        <v>-1.9230769230769232E-2</v>
      </c>
    </row>
    <row r="158" spans="10:12">
      <c r="J158" s="47">
        <v>1.671133277736845E-2</v>
      </c>
      <c r="K158" s="43">
        <v>7.2302204080003901E-2</v>
      </c>
      <c r="L158" s="43">
        <v>-0.13843139947629443</v>
      </c>
    </row>
    <row r="159" spans="10:12">
      <c r="J159" s="47">
        <v>-7.1982675095523042E-4</v>
      </c>
      <c r="K159" s="43">
        <v>-5.7386004557168958E-4</v>
      </c>
      <c r="L159" s="43">
        <v>-8.6480943398798138E-3</v>
      </c>
    </row>
    <row r="160" spans="10:12">
      <c r="J160" s="47">
        <v>4.202166770007146E-3</v>
      </c>
      <c r="K160" s="43">
        <v>2.7991056091518128E-3</v>
      </c>
      <c r="L160" s="43">
        <v>-5.6014746659359543E-2</v>
      </c>
    </row>
    <row r="161" spans="10:12">
      <c r="J161" s="47">
        <v>4.3759011104946864E-2</v>
      </c>
      <c r="K161" s="43">
        <v>-1.0950463540864657E-2</v>
      </c>
      <c r="L161" s="43">
        <v>0.33657588793992521</v>
      </c>
    </row>
    <row r="162" spans="10:12">
      <c r="J162" s="47">
        <v>-0.13241700783371871</v>
      </c>
      <c r="K162" s="43">
        <v>-6.0134578564156695E-2</v>
      </c>
      <c r="L162" s="43">
        <v>-0.11863174247405887</v>
      </c>
    </row>
    <row r="163" spans="10:12">
      <c r="J163" s="47">
        <v>-1.4919425472528386E-2</v>
      </c>
      <c r="K163" s="43">
        <v>-1.3320071768468679E-2</v>
      </c>
      <c r="L163" s="43">
        <v>-0.1701073100201563</v>
      </c>
    </row>
    <row r="164" spans="10:12">
      <c r="J164" s="47">
        <v>4.2085502800716865E-2</v>
      </c>
      <c r="K164" s="43">
        <v>-1.29535396939288E-2</v>
      </c>
      <c r="L164" s="43">
        <v>8.2587055517793426E-2</v>
      </c>
    </row>
    <row r="165" spans="10:12">
      <c r="J165" s="47">
        <v>4.4887432331440914E-2</v>
      </c>
      <c r="K165" s="43">
        <v>-5.4312556195838704E-2</v>
      </c>
      <c r="L165" s="43">
        <v>0.2619484740641348</v>
      </c>
    </row>
    <row r="166" spans="10:12">
      <c r="J166" s="47">
        <v>1.8340786956477232E-2</v>
      </c>
      <c r="K166" s="43">
        <v>1.4378812504731699E-2</v>
      </c>
      <c r="L166" s="43">
        <v>9.1769866780098117E-2</v>
      </c>
    </row>
    <row r="167" spans="10:12">
      <c r="J167" s="47">
        <v>-1.4746780746998202E-2</v>
      </c>
      <c r="K167" s="43">
        <v>9.2137862798658682E-2</v>
      </c>
      <c r="L167" s="43">
        <v>0.22281522372156426</v>
      </c>
    </row>
    <row r="168" spans="10:12">
      <c r="J168" s="47">
        <v>-1.6439748891744127E-2</v>
      </c>
      <c r="K168" s="43">
        <v>1.6374872464415255E-2</v>
      </c>
      <c r="L168" s="43">
        <v>0.37315876601514703</v>
      </c>
    </row>
    <row r="169" spans="10:12">
      <c r="J169" s="47">
        <v>6.0496427402935773E-2</v>
      </c>
      <c r="K169" s="43">
        <v>2.5837075242855931E-2</v>
      </c>
      <c r="L169" s="43">
        <v>0.22725464028670397</v>
      </c>
    </row>
    <row r="170" spans="10:12">
      <c r="J170" s="47">
        <v>-6.280871028858262E-2</v>
      </c>
      <c r="K170" s="43">
        <v>1.3172232382845971E-2</v>
      </c>
      <c r="L170" s="43">
        <v>-0.41048884932723506</v>
      </c>
    </row>
    <row r="171" spans="10:12">
      <c r="J171" s="47">
        <v>-2.2590399659434858E-3</v>
      </c>
      <c r="K171" s="43">
        <v>4.9360583842949689E-2</v>
      </c>
      <c r="L171" s="43">
        <v>0.1696870020835245</v>
      </c>
    </row>
    <row r="172" spans="10:12">
      <c r="J172" s="47">
        <v>-0.14226412023388366</v>
      </c>
      <c r="K172" s="43">
        <v>-0.1215111748561737</v>
      </c>
      <c r="L172" s="43">
        <v>-0.13333334527291832</v>
      </c>
    </row>
    <row r="173" spans="10:12">
      <c r="J173" s="47">
        <v>7.4644319631229167E-2</v>
      </c>
      <c r="K173" s="43">
        <v>3.1228195924029322E-2</v>
      </c>
      <c r="L173" s="43">
        <v>0.32231858385866358</v>
      </c>
    </row>
    <row r="174" spans="10:12">
      <c r="J174" s="47">
        <v>7.8466158512334669E-2</v>
      </c>
      <c r="K174" s="43">
        <v>2.6750807857015012E-2</v>
      </c>
      <c r="L174" s="43">
        <v>-3.6050764697562951E-2</v>
      </c>
    </row>
    <row r="175" spans="10:12">
      <c r="J175" s="47">
        <v>2.2396612676205904E-2</v>
      </c>
      <c r="K175" s="43">
        <v>2.3053234122913879E-2</v>
      </c>
      <c r="L175" s="43">
        <v>8.4572873482642599E-2</v>
      </c>
    </row>
    <row r="176" spans="10:12">
      <c r="J176" s="47">
        <v>-6.4356961982766255E-3</v>
      </c>
      <c r="K176" s="43">
        <v>1.0086585090702966E-2</v>
      </c>
      <c r="L176" s="43">
        <v>8.2680198477858083E-2</v>
      </c>
    </row>
    <row r="177" spans="10:12">
      <c r="J177" s="47">
        <v>-0.1184604170507657</v>
      </c>
      <c r="K177" s="43">
        <v>-7.1175660545104047E-2</v>
      </c>
      <c r="L177" s="43">
        <v>-7.9623351442906186E-3</v>
      </c>
    </row>
    <row r="178" spans="10:12">
      <c r="J178" s="47">
        <v>8.2803460340783952E-2</v>
      </c>
      <c r="K178" s="43">
        <v>6.1990127801526601E-2</v>
      </c>
      <c r="L178" s="43">
        <v>0.10798982153590762</v>
      </c>
    </row>
    <row r="179" spans="10:12">
      <c r="J179" s="47">
        <v>-2.9622820363146448E-2</v>
      </c>
      <c r="K179" s="43">
        <v>-6.5048805557144096E-2</v>
      </c>
      <c r="L179" s="43">
        <v>2.6341758806508499E-3</v>
      </c>
    </row>
    <row r="180" spans="10:12">
      <c r="J180" s="47">
        <v>-7.9074733797129926E-2</v>
      </c>
      <c r="K180" s="43">
        <v>-1.4283524749774375E-2</v>
      </c>
      <c r="L180" s="43">
        <v>3.2840721673054768E-2</v>
      </c>
    </row>
    <row r="181" spans="10:12">
      <c r="J181" s="47">
        <v>3.1103930330083823E-2</v>
      </c>
      <c r="K181" s="43">
        <v>7.9464339950983103E-3</v>
      </c>
      <c r="L181" s="43">
        <v>-7.8219425505392792E-2</v>
      </c>
    </row>
    <row r="182" spans="10:12">
      <c r="J182" s="47">
        <v>-4.3053404464659835E-2</v>
      </c>
      <c r="K182" s="43">
        <v>2.0559501491205143E-2</v>
      </c>
      <c r="L182" s="43">
        <v>0.17040360721144904</v>
      </c>
    </row>
    <row r="183" spans="10:12">
      <c r="J183" s="47">
        <v>8.2876655486598307E-3</v>
      </c>
      <c r="K183" s="43">
        <v>4.1275465647904006E-2</v>
      </c>
      <c r="L183" s="43">
        <v>0.15384618843952239</v>
      </c>
    </row>
    <row r="184" spans="10:12">
      <c r="J184" s="47">
        <v>2.4218429361467918E-2</v>
      </c>
      <c r="K184" s="43">
        <v>6.0949809362252784E-2</v>
      </c>
      <c r="L184" s="43">
        <v>0.17139205167175325</v>
      </c>
    </row>
    <row r="185" spans="10:12">
      <c r="J185" s="47">
        <v>-0.10977357382363219</v>
      </c>
      <c r="K185" s="43">
        <v>2.0566258315083179E-2</v>
      </c>
      <c r="L185" s="43">
        <v>2.4858250642742375E-2</v>
      </c>
    </row>
    <row r="186" spans="10:12">
      <c r="J186" s="47">
        <v>-0.17192531372845826</v>
      </c>
      <c r="K186" s="43">
        <v>-9.6661515830110137E-2</v>
      </c>
      <c r="L186" s="43">
        <v>-3.2340435271567484E-2</v>
      </c>
    </row>
    <row r="187" spans="10:12">
      <c r="J187" s="47">
        <v>-0.2618584324574979</v>
      </c>
      <c r="K187" s="43">
        <v>-2.4910700112704905E-2</v>
      </c>
      <c r="L187" s="43">
        <v>0</v>
      </c>
    </row>
    <row r="188" spans="10:12">
      <c r="J188" s="47">
        <v>0.22386093565267992</v>
      </c>
      <c r="K188" s="43">
        <v>0.14420794401875972</v>
      </c>
      <c r="L188" s="43">
        <v>0.15193491462098491</v>
      </c>
    </row>
    <row r="189" spans="10:12">
      <c r="J189" s="47">
        <v>-2.1519259172183624E-2</v>
      </c>
      <c r="K189" s="43">
        <v>-8.5976629155983704E-3</v>
      </c>
      <c r="L189" s="43">
        <v>2.6913530518015361E-2</v>
      </c>
    </row>
    <row r="190" spans="10:12">
      <c r="J190" s="47">
        <v>-1.6494391463937646E-2</v>
      </c>
      <c r="K190" s="43">
        <v>-5.4588202468487397E-2</v>
      </c>
      <c r="L190" s="43">
        <v>-2.2118933895620665E-2</v>
      </c>
    </row>
    <row r="191" spans="10:12">
      <c r="J191" s="47">
        <v>-5.9033974006830969E-2</v>
      </c>
      <c r="K191" s="43">
        <v>3.6478627930776768E-2</v>
      </c>
      <c r="L191" s="43">
        <v>0.47177341583114574</v>
      </c>
    </row>
    <row r="192" spans="10:12">
      <c r="J192" s="47">
        <v>-5.0855587243971996E-2</v>
      </c>
      <c r="K192" s="43">
        <v>5.2483599365906006E-2</v>
      </c>
      <c r="L192" s="43">
        <v>0.17293038017401877</v>
      </c>
    </row>
    <row r="193" spans="10:12">
      <c r="J193" s="47">
        <v>-0.14046061563714568</v>
      </c>
      <c r="K193" s="43">
        <v>-2.9528705241897702E-2</v>
      </c>
      <c r="L193" s="43">
        <v>-9.7225301263218392E-2</v>
      </c>
    </row>
    <row r="194" spans="10:12">
      <c r="J194" s="47">
        <v>-4.9810743022537934E-2</v>
      </c>
      <c r="K194" s="43">
        <v>-7.905698472891258E-2</v>
      </c>
      <c r="L194" s="43">
        <v>-8.1717247503464582E-2</v>
      </c>
    </row>
    <row r="195" spans="10:12">
      <c r="J195" s="47">
        <v>0.16891484723025721</v>
      </c>
      <c r="K195" s="43">
        <v>5.521108622078269E-2</v>
      </c>
      <c r="L195" s="43">
        <v>0.23070796301451166</v>
      </c>
    </row>
    <row r="196" spans="10:12">
      <c r="J196" s="47">
        <v>8.1038554052698039E-2</v>
      </c>
      <c r="K196" s="43">
        <v>8.7780016933586502E-2</v>
      </c>
      <c r="L196" s="43">
        <v>-1.025258515098889E-2</v>
      </c>
    </row>
    <row r="197" spans="10:12">
      <c r="J197" s="47">
        <v>8.7821417386726996E-2</v>
      </c>
      <c r="K197" s="43">
        <v>3.6535772154039109E-2</v>
      </c>
      <c r="L197" s="43">
        <v>-6.6186890801658779E-2</v>
      </c>
    </row>
    <row r="198" spans="10:12">
      <c r="J198" s="47">
        <v>0.21253342432798503</v>
      </c>
      <c r="K198" s="43">
        <v>-2.8627462938532328E-2</v>
      </c>
      <c r="L198" s="43">
        <v>-1.3194736822412389E-2</v>
      </c>
    </row>
    <row r="199" spans="10:12">
      <c r="J199" s="47">
        <v>2.6853097808573197E-2</v>
      </c>
      <c r="K199" s="43">
        <v>3.7170258362313892E-2</v>
      </c>
      <c r="L199" s="43">
        <v>-7.1115867758970358E-2</v>
      </c>
    </row>
    <row r="200" spans="10:12">
      <c r="J200" s="47">
        <v>2.525523555737761E-2</v>
      </c>
      <c r="K200" s="43">
        <v>-9.8570752407286261E-3</v>
      </c>
      <c r="L200" s="43">
        <v>3.974525791824244E-2</v>
      </c>
    </row>
    <row r="201" spans="10:12">
      <c r="J201" s="47">
        <v>1.9741390990263792E-2</v>
      </c>
      <c r="K201" s="43">
        <v>4.0066394909623576E-2</v>
      </c>
      <c r="L201" s="43">
        <v>-1.8867935110328502E-2</v>
      </c>
    </row>
    <row r="202" spans="10:12">
      <c r="J202" s="47">
        <v>8.0692187516849007E-2</v>
      </c>
      <c r="K202" s="43">
        <v>-2.6646939479089735E-2</v>
      </c>
      <c r="L202" s="43">
        <v>0.17295202494301296</v>
      </c>
    </row>
    <row r="203" spans="10:12">
      <c r="J203" s="47">
        <v>-8.7349428920242347E-2</v>
      </c>
      <c r="K203" s="43">
        <v>4.5283423614962057E-2</v>
      </c>
      <c r="L203" s="43">
        <v>0.13052275201105171</v>
      </c>
    </row>
    <row r="204" spans="10:12">
      <c r="J204" s="47">
        <v>-5.297896913719724E-2</v>
      </c>
      <c r="K204" s="43">
        <v>5.4007430374684801E-3</v>
      </c>
      <c r="L204" s="43">
        <v>4.2659371646558232E-2</v>
      </c>
    </row>
    <row r="205" spans="10:12">
      <c r="J205" s="47">
        <v>7.8870124742418724E-2</v>
      </c>
      <c r="K205" s="43">
        <v>-6.7174981544559934E-2</v>
      </c>
      <c r="L205" s="43">
        <v>-7.0628609181788787E-2</v>
      </c>
    </row>
    <row r="206" spans="10:12">
      <c r="J206" s="47">
        <v>9.6055789785664855E-2</v>
      </c>
      <c r="K206" s="43">
        <v>8.544921875E-3</v>
      </c>
      <c r="L206" s="43">
        <v>0.16841595310080018</v>
      </c>
    </row>
    <row r="207" spans="10:12">
      <c r="J207" s="47">
        <v>-7.1816363897142466E-2</v>
      </c>
      <c r="K207" s="43">
        <v>-4.2669523567558737E-2</v>
      </c>
      <c r="L207" s="43">
        <v>0.31722524074981151</v>
      </c>
    </row>
    <row r="208" spans="10:12">
      <c r="J208" s="47">
        <v>2.2560134870967419E-2</v>
      </c>
      <c r="K208" s="43">
        <v>9.7094948756378793E-2</v>
      </c>
      <c r="L208" s="43">
        <v>-9.1368325231025602E-2</v>
      </c>
    </row>
    <row r="209" spans="10:12">
      <c r="J209" s="47">
        <v>0.24137932324313985</v>
      </c>
      <c r="K209" s="43">
        <v>7.1315011964773935E-3</v>
      </c>
      <c r="L209" s="43">
        <v>-0.20604583150860548</v>
      </c>
    </row>
    <row r="210" spans="10:12">
      <c r="J210" s="47">
        <v>3.2385454372333138E-2</v>
      </c>
      <c r="K210" s="43">
        <v>-4.4808092534387632E-2</v>
      </c>
      <c r="L210" s="43">
        <v>7.956233118503829E-2</v>
      </c>
    </row>
    <row r="211" spans="10:12">
      <c r="J211" s="47">
        <v>5.3175188297781055E-2</v>
      </c>
      <c r="K211" s="43">
        <v>7.6927677218722595E-2</v>
      </c>
      <c r="L211" s="43">
        <v>-0.11350738134973606</v>
      </c>
    </row>
    <row r="212" spans="10:12">
      <c r="J212" s="47">
        <v>3.2207334786973699E-2</v>
      </c>
      <c r="K212" s="43">
        <v>1.8224967918487777E-2</v>
      </c>
      <c r="L212" s="43">
        <v>-0.21785257447068021</v>
      </c>
    </row>
    <row r="213" spans="10:12">
      <c r="J213" s="47">
        <v>0.12609970674486803</v>
      </c>
      <c r="K213" s="43">
        <v>-5.1535403965982862E-3</v>
      </c>
      <c r="L213" s="43">
        <v>0.19106647110246272</v>
      </c>
    </row>
    <row r="214" spans="10:12">
      <c r="J214" s="47">
        <v>-0.10791667302449544</v>
      </c>
      <c r="K214" s="43">
        <v>-1.1251625278203262E-2</v>
      </c>
      <c r="L214" s="43">
        <v>-0.24926368778234789</v>
      </c>
    </row>
    <row r="215" spans="10:12">
      <c r="J215" s="47">
        <v>0.13183093176074917</v>
      </c>
      <c r="K215" s="43">
        <v>-1.6844066964690572E-2</v>
      </c>
      <c r="L215" s="43">
        <v>0.23538642229191917</v>
      </c>
    </row>
    <row r="216" spans="10:12">
      <c r="J216" s="47">
        <v>-1.38244502534434E-2</v>
      </c>
      <c r="K216" s="43">
        <v>-7.5521473824821023E-2</v>
      </c>
      <c r="L216" s="43">
        <v>-0.10161954430055889</v>
      </c>
    </row>
    <row r="217" spans="10:12">
      <c r="J217" s="47">
        <v>-8.6619929872460852E-2</v>
      </c>
      <c r="K217" s="43">
        <v>1.2520170560996476E-2</v>
      </c>
      <c r="L217" s="43">
        <v>-0.25344646447648123</v>
      </c>
    </row>
    <row r="218" spans="10:12">
      <c r="J218" s="47">
        <v>0.26915588886861608</v>
      </c>
      <c r="K218" s="43">
        <v>6.4948583317275307E-2</v>
      </c>
      <c r="L218" s="43">
        <v>-5.2083320790268478E-2</v>
      </c>
    </row>
    <row r="219" spans="10:12">
      <c r="J219" s="47">
        <v>4.782950915747688E-3</v>
      </c>
      <c r="K219" s="43">
        <v>2.3164906311544529E-2</v>
      </c>
      <c r="L219" s="43">
        <v>0.29254071725580111</v>
      </c>
    </row>
    <row r="220" spans="10:12">
      <c r="J220" s="47">
        <v>-9.3406980450823629E-3</v>
      </c>
      <c r="K220" s="43">
        <v>-7.5843039523349719E-3</v>
      </c>
      <c r="L220" s="43">
        <v>-0.16565762031874026</v>
      </c>
    </row>
    <row r="221" spans="10:12">
      <c r="J221" s="47">
        <v>5.1767895979053263E-2</v>
      </c>
      <c r="K221" s="43">
        <v>-7.4893836312792311E-2</v>
      </c>
      <c r="L221" s="43">
        <v>0.16025946303524588</v>
      </c>
    </row>
    <row r="222" spans="10:12">
      <c r="J222" s="47">
        <v>-5.2581659872377812E-2</v>
      </c>
      <c r="K222" s="43">
        <v>-6.217111599527652E-2</v>
      </c>
      <c r="L222" s="43">
        <v>4.5642052369015786E-2</v>
      </c>
    </row>
    <row r="223" spans="10:12">
      <c r="J223" s="47">
        <v>-2.274588223730408E-3</v>
      </c>
      <c r="K223" s="43">
        <v>1.1353292154049061E-2</v>
      </c>
      <c r="L223" s="43">
        <v>0.24726393296541102</v>
      </c>
    </row>
    <row r="224" spans="10:12">
      <c r="J224" s="47">
        <v>7.9153678514607168E-2</v>
      </c>
      <c r="K224" s="43">
        <v>5.6129012569304436E-2</v>
      </c>
      <c r="L224" s="43">
        <v>-8.8154261823595731E-2</v>
      </c>
    </row>
    <row r="225" spans="10:12">
      <c r="J225" s="47">
        <v>-0.13655565770488928</v>
      </c>
      <c r="K225" s="43">
        <v>-5.2779471904206496E-2</v>
      </c>
      <c r="L225" s="43">
        <v>0.32270331712609929</v>
      </c>
    </row>
    <row r="226" spans="10:12">
      <c r="J226" s="47">
        <v>4.9618317475845664E-2</v>
      </c>
      <c r="K226" s="43">
        <v>6.7457802647743384E-2</v>
      </c>
      <c r="L226" s="43">
        <v>-3.6375902678846245E-2</v>
      </c>
    </row>
    <row r="227" spans="10:12">
      <c r="J227" s="47">
        <v>-9.3260011472902094E-5</v>
      </c>
      <c r="K227" s="43">
        <v>1.2143514106774092E-2</v>
      </c>
      <c r="L227" s="43">
        <v>4.301622754951437E-3</v>
      </c>
    </row>
    <row r="228" spans="10:12">
      <c r="J228" s="47">
        <v>3.6833314587105259E-2</v>
      </c>
      <c r="K228" s="43">
        <v>-3.4919155650579285E-2</v>
      </c>
      <c r="L228" s="43">
        <v>-7.5874127529729468E-2</v>
      </c>
    </row>
    <row r="229" spans="10:12">
      <c r="J229" s="47">
        <v>5.7469190119100615E-2</v>
      </c>
      <c r="K229" s="43">
        <v>-3.6677343792764341E-2</v>
      </c>
      <c r="L229" s="43">
        <v>-2.7430963794871765E-2</v>
      </c>
    </row>
    <row r="230" spans="10:12">
      <c r="J230" s="47">
        <v>-9.9761891259262755E-2</v>
      </c>
      <c r="K230" s="43">
        <v>-4.7576267493479131E-2</v>
      </c>
      <c r="L230" s="43">
        <v>-4.2015169302141907E-2</v>
      </c>
    </row>
    <row r="231" spans="10:12">
      <c r="J231" s="47">
        <v>-2.9381206000790978E-2</v>
      </c>
      <c r="K231" s="43">
        <v>4.2604877175694146E-2</v>
      </c>
      <c r="L231" s="43">
        <v>0.23005079860009517</v>
      </c>
    </row>
    <row r="232" spans="10:12">
      <c r="J232" s="47">
        <v>-2.6863875454772892E-2</v>
      </c>
      <c r="K232" s="43">
        <v>1.3448867074896323E-2</v>
      </c>
      <c r="L232" s="43">
        <v>0.21665565538612822</v>
      </c>
    </row>
    <row r="233" spans="10:12">
      <c r="J233" s="47">
        <v>2.8305602186838662E-2</v>
      </c>
      <c r="K233" s="43">
        <v>1.3780708993368746E-2</v>
      </c>
      <c r="L233" s="43">
        <v>0.13757545807937385</v>
      </c>
    </row>
    <row r="234" spans="10:12">
      <c r="J234" s="47">
        <v>1.6632614775601847E-2</v>
      </c>
      <c r="K234" s="43">
        <v>1.560736992818094E-2</v>
      </c>
      <c r="L234" s="43">
        <v>0.14813045486459542</v>
      </c>
    </row>
    <row r="235" spans="10:12">
      <c r="J235" s="47">
        <v>0.11213166472561881</v>
      </c>
      <c r="K235" s="43">
        <v>-1.976702407291844E-2</v>
      </c>
      <c r="L235" s="43">
        <v>-6.253567424541788E-2</v>
      </c>
    </row>
    <row r="236" spans="10:12">
      <c r="J236" s="47">
        <v>1.7463857678971954E-2</v>
      </c>
      <c r="K236" s="43">
        <v>-8.5972601894061432E-2</v>
      </c>
      <c r="L236" s="43">
        <v>-0.12249986114155759</v>
      </c>
    </row>
    <row r="237" spans="10:12">
      <c r="J237" s="47">
        <v>-8.5397356515030266E-3</v>
      </c>
      <c r="K237" s="43">
        <v>1.4385516866560784E-2</v>
      </c>
      <c r="L237" s="43">
        <v>5.3794600018960283E-2</v>
      </c>
    </row>
    <row r="238" spans="10:12">
      <c r="J238" s="47">
        <v>-1.8250037102696164E-2</v>
      </c>
      <c r="K238" s="43">
        <v>-3.4771562910124827E-3</v>
      </c>
      <c r="L238" s="43">
        <v>-2.8100583308145816E-2</v>
      </c>
    </row>
    <row r="239" spans="10:12">
      <c r="J239" s="47">
        <v>3.014240365288403E-2</v>
      </c>
      <c r="K239" s="43">
        <v>7.9980857611573627E-2</v>
      </c>
      <c r="L239" s="43">
        <v>-0.10930281889207519</v>
      </c>
    </row>
    <row r="240" spans="10:12">
      <c r="J240" s="47">
        <v>-5.4810179320049094E-3</v>
      </c>
      <c r="K240" s="43">
        <v>5.0744340811638013E-2</v>
      </c>
      <c r="L240" s="43">
        <v>2.8239216166290389E-2</v>
      </c>
    </row>
    <row r="241" spans="10:12">
      <c r="J241" s="47">
        <v>-6.1048092741970957E-3</v>
      </c>
      <c r="K241" s="43">
        <v>-2.2910907016604996E-2</v>
      </c>
      <c r="L241" s="43">
        <v>0.10446960505865431</v>
      </c>
    </row>
    <row r="242" spans="10:12">
      <c r="J242" s="47">
        <v>-3.7536464496174889E-3</v>
      </c>
      <c r="K242" s="43">
        <v>-1.3575200428142458E-2</v>
      </c>
      <c r="L242" s="43">
        <v>-0.12195267115756904</v>
      </c>
    </row>
    <row r="243" spans="10:12">
      <c r="J243" s="47">
        <v>1.0104472662359502E-2</v>
      </c>
      <c r="K243" s="43">
        <v>-3.0339084730377313E-2</v>
      </c>
      <c r="L243" s="43">
        <v>-4.7858707030841247E-2</v>
      </c>
    </row>
    <row r="244" spans="10:12">
      <c r="J244" s="47">
        <v>-8.8080700833237768E-2</v>
      </c>
      <c r="K244" s="43">
        <v>-6.7027932119501102E-2</v>
      </c>
      <c r="L244" s="43">
        <v>-0.11944597610140534</v>
      </c>
    </row>
  </sheetData>
  <mergeCells count="2">
    <mergeCell ref="N3:P3"/>
    <mergeCell ref="J3:L3"/>
  </mergeCells>
  <phoneticPr fontId="5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43"/>
  <sheetViews>
    <sheetView zoomScaleNormal="100" workbookViewId="0">
      <selection activeCell="N35" sqref="N35"/>
    </sheetView>
  </sheetViews>
  <sheetFormatPr defaultColWidth="9.140625" defaultRowHeight="12.6"/>
  <cols>
    <col min="1" max="1" width="9.140625" style="4"/>
    <col min="2" max="2" width="14.7109375" style="4" customWidth="1"/>
    <col min="3" max="3" width="21.28515625" style="4" bestFit="1" customWidth="1"/>
    <col min="4" max="5" width="13.7109375" style="4" customWidth="1"/>
    <col min="6" max="11" width="9.140625" style="4"/>
    <col min="12" max="12" width="9.140625" style="14"/>
    <col min="13" max="15" width="9.140625" style="4"/>
    <col min="16" max="18" width="8.85546875" customWidth="1"/>
    <col min="19" max="19" width="15.28515625" style="24" bestFit="1" customWidth="1"/>
    <col min="20" max="16384" width="9.140625" style="4"/>
  </cols>
  <sheetData>
    <row r="1" spans="1:19" ht="12.95">
      <c r="A1" s="1" t="s">
        <v>22</v>
      </c>
      <c r="L1" s="15" t="s">
        <v>23</v>
      </c>
    </row>
    <row r="2" spans="1:19">
      <c r="F2" s="6" t="s">
        <v>45</v>
      </c>
      <c r="S2" s="24" t="s">
        <v>5</v>
      </c>
    </row>
    <row r="3" spans="1:19" ht="12.95">
      <c r="A3" s="6" t="s">
        <v>46</v>
      </c>
      <c r="F3" s="4" t="s">
        <v>47</v>
      </c>
      <c r="G3" s="17" t="s">
        <v>48</v>
      </c>
      <c r="K3"/>
      <c r="L3" s="82" t="s">
        <v>41</v>
      </c>
      <c r="M3" s="79"/>
      <c r="N3" s="79"/>
      <c r="O3" s="79"/>
      <c r="S3" s="30">
        <v>1.6000000000000001E-3</v>
      </c>
    </row>
    <row r="4" spans="1:19">
      <c r="B4" s="4" t="s">
        <v>49</v>
      </c>
      <c r="K4"/>
      <c r="L4" s="12"/>
      <c r="M4" s="18" t="s">
        <v>1</v>
      </c>
      <c r="N4" s="18" t="s">
        <v>2</v>
      </c>
      <c r="O4" s="18" t="s">
        <v>3</v>
      </c>
      <c r="S4" s="30">
        <v>1.6000000000000001E-3</v>
      </c>
    </row>
    <row r="5" spans="1:19">
      <c r="B5" s="18" t="str">
        <f>'Task 4 Cov,Corr Student'!C4</f>
        <v>XOM</v>
      </c>
      <c r="C5" s="18" t="str">
        <f>'Task 4 Cov,Corr Student'!D4</f>
        <v>JNJ</v>
      </c>
      <c r="D5" s="18" t="str">
        <f>'Task 4 Cov,Corr Student'!E4</f>
        <v>AMD</v>
      </c>
      <c r="E5" s="10" t="s">
        <v>50</v>
      </c>
      <c r="F5" s="4" t="s">
        <v>51</v>
      </c>
      <c r="G5" s="4" t="s">
        <v>52</v>
      </c>
      <c r="K5"/>
      <c r="L5" s="13" t="s">
        <v>1</v>
      </c>
      <c r="M5" s="55">
        <v>4.4357222357373355E-3</v>
      </c>
      <c r="N5" s="7">
        <v>1.0132291547813475E-3</v>
      </c>
      <c r="O5" s="7">
        <v>1.5301803651684323E-3</v>
      </c>
      <c r="S5" s="30">
        <v>1.6000000000000001E-3</v>
      </c>
    </row>
    <row r="6" spans="1:19">
      <c r="B6" s="69">
        <v>0.23215613617875022</v>
      </c>
      <c r="C6" s="69">
        <v>0.46401720678405678</v>
      </c>
      <c r="D6" s="69">
        <v>0.30382666221390697</v>
      </c>
      <c r="E6" s="69">
        <f>SUM(B6:D6)</f>
        <v>1.0000000051767139</v>
      </c>
      <c r="F6" s="6" t="s">
        <v>53</v>
      </c>
      <c r="G6" s="4" t="s">
        <v>54</v>
      </c>
      <c r="K6"/>
      <c r="L6" s="13" t="s">
        <v>2</v>
      </c>
      <c r="M6" s="55">
        <v>1.0132291547813475E-3</v>
      </c>
      <c r="N6" s="55">
        <v>1.8344437371788334E-3</v>
      </c>
      <c r="O6" s="7">
        <v>1.394363817896254E-3</v>
      </c>
      <c r="S6" s="30">
        <v>2.0999999999999999E-3</v>
      </c>
    </row>
    <row r="7" spans="1:19">
      <c r="K7"/>
      <c r="L7" s="13" t="s">
        <v>3</v>
      </c>
      <c r="M7" s="55">
        <v>1.5301803651684323E-3</v>
      </c>
      <c r="N7" s="55">
        <v>1.394363817896254E-3</v>
      </c>
      <c r="O7" s="55">
        <v>2.867607233251078E-2</v>
      </c>
      <c r="S7" s="30">
        <v>2.0999999999999999E-3</v>
      </c>
    </row>
    <row r="8" spans="1:19" ht="12.95">
      <c r="B8" s="5" t="s">
        <v>55</v>
      </c>
      <c r="C8" s="57">
        <f>(B6*O19)+(C6*P19)+(D6*Q19)</f>
        <v>9.6372689671606216E-3</v>
      </c>
      <c r="K8"/>
      <c r="L8" s="12"/>
      <c r="M8"/>
      <c r="N8"/>
      <c r="O8"/>
      <c r="S8" s="30">
        <v>2.3999999999999998E-3</v>
      </c>
    </row>
    <row r="9" spans="1:19" ht="12.95">
      <c r="B9" s="5" t="s">
        <v>56</v>
      </c>
      <c r="C9" s="57">
        <f>B6^2*O22^2+C6^2*P22^2+D6^2*Q22^2+2*B6*C6*N11*O22*P22+2*B6*D6*O11*O22*Q22+2*C6*D6*O12*P22*Q22</f>
        <v>4.1084734484697653E-3</v>
      </c>
      <c r="D9" s="68"/>
      <c r="K9"/>
      <c r="L9" s="82" t="s">
        <v>44</v>
      </c>
      <c r="M9" s="79"/>
      <c r="N9" s="79"/>
      <c r="O9" s="79"/>
      <c r="S9" s="30">
        <v>2.3E-3</v>
      </c>
    </row>
    <row r="10" spans="1:19" ht="12.95">
      <c r="B10" s="5"/>
      <c r="K10"/>
      <c r="L10" s="13"/>
      <c r="M10" s="3" t="s">
        <v>1</v>
      </c>
      <c r="N10" s="3" t="s">
        <v>2</v>
      </c>
      <c r="O10" s="3" t="s">
        <v>3</v>
      </c>
      <c r="S10" s="30">
        <v>2.3999999999999998E-3</v>
      </c>
    </row>
    <row r="11" spans="1:19" ht="12.95">
      <c r="B11" s="5" t="s">
        <v>57</v>
      </c>
      <c r="C11" s="69">
        <f>(C8-L27)/SQRT(C9)</f>
        <v>0.13029202654470137</v>
      </c>
      <c r="F11" s="6" t="s">
        <v>53</v>
      </c>
      <c r="G11" s="6" t="s">
        <v>58</v>
      </c>
      <c r="K11"/>
      <c r="L11" s="13" t="s">
        <v>1</v>
      </c>
      <c r="M11" s="55">
        <v>0.99999999999999978</v>
      </c>
      <c r="N11" s="7">
        <v>0.35520028708137485</v>
      </c>
      <c r="O11" s="7">
        <v>0.13567524668779679</v>
      </c>
      <c r="S11" s="30">
        <v>3.0000000000000001E-3</v>
      </c>
    </row>
    <row r="12" spans="1:19">
      <c r="K12"/>
      <c r="L12" s="13" t="s">
        <v>2</v>
      </c>
      <c r="M12" s="55">
        <v>0.35520028708137485</v>
      </c>
      <c r="N12" s="55">
        <v>1.0000000000000007</v>
      </c>
      <c r="O12" s="7">
        <v>0.19224899272995535</v>
      </c>
      <c r="S12" s="30">
        <v>2.8999999999999998E-3</v>
      </c>
    </row>
    <row r="13" spans="1:19">
      <c r="K13"/>
      <c r="L13" s="13" t="s">
        <v>3</v>
      </c>
      <c r="M13" s="55">
        <v>0.13567524668779679</v>
      </c>
      <c r="N13" s="55">
        <v>0.19224899272995535</v>
      </c>
      <c r="O13" s="55">
        <v>0.99999999999999978</v>
      </c>
      <c r="S13" s="30">
        <v>2.7000000000000001E-3</v>
      </c>
    </row>
    <row r="14" spans="1:19">
      <c r="A14" s="6" t="s">
        <v>59</v>
      </c>
      <c r="K14"/>
      <c r="L14" s="12"/>
      <c r="M14"/>
      <c r="N14"/>
      <c r="O14"/>
      <c r="S14" s="30">
        <v>3.0999999999999999E-3</v>
      </c>
    </row>
    <row r="15" spans="1:19">
      <c r="B15" s="4" t="s">
        <v>49</v>
      </c>
      <c r="K15"/>
      <c r="L15" s="12"/>
      <c r="M15"/>
      <c r="N15"/>
      <c r="O15"/>
      <c r="S15" s="30">
        <v>3.2000000000000002E-3</v>
      </c>
    </row>
    <row r="16" spans="1:19" ht="12.95">
      <c r="B16" s="10" t="str">
        <f>B5</f>
        <v>XOM</v>
      </c>
      <c r="C16" s="10" t="str">
        <f>C5</f>
        <v>JNJ</v>
      </c>
      <c r="D16" s="10" t="str">
        <f>D5</f>
        <v>AMD</v>
      </c>
      <c r="E16" s="10" t="s">
        <v>50</v>
      </c>
      <c r="F16" s="10" t="s">
        <v>60</v>
      </c>
      <c r="K16"/>
      <c r="L16" s="82" t="s">
        <v>61</v>
      </c>
      <c r="M16" s="79"/>
      <c r="N16" s="79"/>
      <c r="O16" s="79"/>
      <c r="P16" s="79"/>
      <c r="Q16" s="79"/>
      <c r="S16" s="30">
        <v>3.4999999999999996E-3</v>
      </c>
    </row>
    <row r="17" spans="2:19">
      <c r="B17" s="69">
        <v>0.23215686269362426</v>
      </c>
      <c r="C17" s="69">
        <v>0.46401675989913416</v>
      </c>
      <c r="D17" s="69">
        <v>0.30382637740724183</v>
      </c>
      <c r="E17" s="69">
        <f>SUM(B17:D17)</f>
        <v>1.0000000000000002</v>
      </c>
      <c r="F17" s="6" t="s">
        <v>62</v>
      </c>
      <c r="G17" s="6" t="s">
        <v>63</v>
      </c>
      <c r="K17"/>
      <c r="L17" s="12"/>
      <c r="M17"/>
      <c r="N17"/>
      <c r="O17" t="s">
        <v>1</v>
      </c>
      <c r="P17" t="s">
        <v>2</v>
      </c>
      <c r="Q17" t="s">
        <v>3</v>
      </c>
      <c r="S17" s="30">
        <v>3.4000000000000002E-3</v>
      </c>
    </row>
    <row r="18" spans="2:19">
      <c r="G18" s="6" t="s">
        <v>64</v>
      </c>
      <c r="K18"/>
      <c r="L18" s="12" t="s">
        <v>25</v>
      </c>
      <c r="M18"/>
      <c r="N18"/>
      <c r="O18"/>
      <c r="S18" s="30">
        <v>3.7000000000000002E-3</v>
      </c>
    </row>
    <row r="19" spans="2:19" ht="12.95">
      <c r="B19" s="5" t="s">
        <v>55</v>
      </c>
      <c r="C19" s="57">
        <f>(B17*O19)+(C17*P19)+(D17*Q19)</f>
        <v>9.6372648662344865E-3</v>
      </c>
      <c r="G19" s="6" t="s">
        <v>65</v>
      </c>
      <c r="K19"/>
      <c r="L19" s="12"/>
      <c r="M19" t="s">
        <v>26</v>
      </c>
      <c r="N19"/>
      <c r="O19" s="43">
        <v>5.2798811995191462E-3</v>
      </c>
      <c r="P19" s="43">
        <v>4.3554725262018156E-3</v>
      </c>
      <c r="Q19" s="43">
        <v>2.1033367861788842E-2</v>
      </c>
      <c r="S19" s="30">
        <v>3.5999999999999999E-3</v>
      </c>
    </row>
    <row r="20" spans="2:19" ht="12.95">
      <c r="B20" s="5" t="s">
        <v>56</v>
      </c>
      <c r="C20" s="57">
        <f>B17^2*O22^2+C17^2*P22^2+D17^2*Q22^2+2*B17*C17*N11*O22*P22+2*B17*D17*O11*O22*Q22+2*C17*D17*O12*P22*Q22</f>
        <v>4.1084694201013461E-3</v>
      </c>
      <c r="K20"/>
      <c r="L20" s="12"/>
      <c r="M20" t="s">
        <v>28</v>
      </c>
      <c r="N20"/>
      <c r="O20" s="43">
        <v>3.0932371629830424E-3</v>
      </c>
      <c r="P20" s="43">
        <v>3.4406151194350532E-3</v>
      </c>
      <c r="Q20" s="43">
        <v>7.1173016014247636E-3</v>
      </c>
      <c r="S20" s="30">
        <v>4.3E-3</v>
      </c>
    </row>
    <row r="21" spans="2:19" ht="12.95">
      <c r="B21" s="5"/>
      <c r="K21"/>
      <c r="L21" s="12"/>
      <c r="M21"/>
      <c r="N21"/>
      <c r="O21" s="43"/>
      <c r="P21" s="43"/>
      <c r="Q21" s="43"/>
      <c r="S21" s="30">
        <v>4.0000000000000001E-3</v>
      </c>
    </row>
    <row r="22" spans="2:19" ht="12.95">
      <c r="B22" s="5" t="s">
        <v>57</v>
      </c>
      <c r="C22" s="69">
        <f>(C19-L27)/SQRT(C20)</f>
        <v>0.13029202644091767</v>
      </c>
      <c r="K22"/>
      <c r="L22" s="12" t="s">
        <v>30</v>
      </c>
      <c r="M22"/>
      <c r="N22"/>
      <c r="O22" s="43">
        <v>6.6601217974878932E-2</v>
      </c>
      <c r="P22" s="43">
        <v>4.283040668939337E-2</v>
      </c>
      <c r="Q22" s="43">
        <v>0.16934010845783343</v>
      </c>
      <c r="S22" s="30">
        <v>4.0000000000000001E-3</v>
      </c>
    </row>
    <row r="23" spans="2:19">
      <c r="K23"/>
      <c r="L23" s="12"/>
      <c r="M23"/>
      <c r="N23"/>
      <c r="O23" s="43"/>
      <c r="P23" s="43"/>
      <c r="Q23" s="43"/>
      <c r="S23" s="30">
        <v>4.1999999999999997E-3</v>
      </c>
    </row>
    <row r="24" spans="2:19">
      <c r="M24" s="4" t="s">
        <v>31</v>
      </c>
      <c r="O24" s="56">
        <v>2.1866440365361037E-3</v>
      </c>
      <c r="P24" s="43">
        <v>9.1485740676676246E-4</v>
      </c>
      <c r="Q24" s="43">
        <v>1.3916066260364079E-2</v>
      </c>
      <c r="S24" s="30">
        <v>4.0999999999999995E-3</v>
      </c>
    </row>
    <row r="25" spans="2:19">
      <c r="S25" s="30">
        <v>4.0999999999999995E-3</v>
      </c>
    </row>
    <row r="26" spans="2:19" ht="12.95">
      <c r="L26" s="83" t="s">
        <v>66</v>
      </c>
      <c r="M26" s="84"/>
      <c r="S26" s="30">
        <v>4.1999999999999997E-3</v>
      </c>
    </row>
    <row r="27" spans="2:19">
      <c r="H27" s="8"/>
      <c r="L27" s="85">
        <f>AVERAGE(S3:S243)</f>
        <v>1.2858921161825714E-3</v>
      </c>
      <c r="M27" s="86"/>
      <c r="S27" s="30">
        <v>4.0000000000000001E-3</v>
      </c>
    </row>
    <row r="28" spans="2:19">
      <c r="H28"/>
      <c r="S28" s="30">
        <v>4.4000000000000003E-3</v>
      </c>
    </row>
    <row r="29" spans="2:19">
      <c r="H29"/>
      <c r="S29" s="30">
        <v>3.8E-3</v>
      </c>
    </row>
    <row r="30" spans="2:19">
      <c r="S30" s="30">
        <v>4.3E-3</v>
      </c>
    </row>
    <row r="31" spans="2:19">
      <c r="S31" s="30">
        <v>4.4000000000000003E-3</v>
      </c>
    </row>
    <row r="32" spans="2:19">
      <c r="S32" s="30">
        <v>4.0999999999999995E-3</v>
      </c>
    </row>
    <row r="33" spans="19:19">
      <c r="S33" s="30">
        <v>4.0000000000000001E-3</v>
      </c>
    </row>
    <row r="34" spans="19:19">
      <c r="S34" s="30">
        <v>4.0000000000000001E-3</v>
      </c>
    </row>
    <row r="35" spans="19:19">
      <c r="S35" s="30">
        <v>4.1999999999999997E-3</v>
      </c>
    </row>
    <row r="36" spans="19:19">
      <c r="S36" s="30">
        <v>3.2000000000000002E-3</v>
      </c>
    </row>
    <row r="37" spans="19:19">
      <c r="S37" s="30">
        <v>3.2000000000000002E-3</v>
      </c>
    </row>
    <row r="38" spans="19:19">
      <c r="S38" s="30">
        <v>3.4000000000000002E-3</v>
      </c>
    </row>
    <row r="39" spans="19:19">
      <c r="S39" s="30">
        <v>2.7000000000000001E-3</v>
      </c>
    </row>
    <row r="40" spans="19:19">
      <c r="S40" s="30">
        <v>2.0999999999999999E-3</v>
      </c>
    </row>
    <row r="41" spans="19:19">
      <c r="S41" s="30">
        <v>1.2999999999999999E-3</v>
      </c>
    </row>
    <row r="42" spans="19:19">
      <c r="S42" s="30">
        <v>1.7000000000000001E-3</v>
      </c>
    </row>
    <row r="43" spans="19:19">
      <c r="S43" s="30">
        <v>1.8E-3</v>
      </c>
    </row>
    <row r="44" spans="19:19">
      <c r="S44" s="30">
        <v>1.8E-3</v>
      </c>
    </row>
    <row r="45" spans="19:19">
      <c r="S45" s="30">
        <v>1.7000000000000001E-3</v>
      </c>
    </row>
    <row r="46" spans="19:19">
      <c r="S46" s="30">
        <v>1.5E-3</v>
      </c>
    </row>
    <row r="47" spans="19:19">
      <c r="S47" s="30">
        <v>1.2999999999999999E-3</v>
      </c>
    </row>
    <row r="48" spans="19:19">
      <c r="S48" s="30">
        <v>1.5E-3</v>
      </c>
    </row>
    <row r="49" spans="19:19">
      <c r="S49" s="30">
        <v>8.0000000000000004E-4</v>
      </c>
    </row>
    <row r="50" spans="19:19">
      <c r="S50" s="30">
        <v>2.9999999999999997E-4</v>
      </c>
    </row>
    <row r="51" spans="19:19">
      <c r="S51" s="30">
        <v>0</v>
      </c>
    </row>
    <row r="52" spans="19:19">
      <c r="S52" s="30">
        <v>0</v>
      </c>
    </row>
    <row r="53" spans="19:19">
      <c r="S53" s="30">
        <v>1E-4</v>
      </c>
    </row>
    <row r="54" spans="19:19">
      <c r="S54" s="30">
        <v>2.0000000000000001E-4</v>
      </c>
    </row>
    <row r="55" spans="19:19">
      <c r="S55" s="30">
        <v>1E-4</v>
      </c>
    </row>
    <row r="56" spans="19:19">
      <c r="S56" s="30">
        <v>0</v>
      </c>
    </row>
    <row r="57" spans="19:19">
      <c r="S57" s="30">
        <v>1E-4</v>
      </c>
    </row>
    <row r="58" spans="19:19">
      <c r="S58" s="30">
        <v>1E-4</v>
      </c>
    </row>
    <row r="59" spans="19:19">
      <c r="S59" s="30">
        <v>1E-4</v>
      </c>
    </row>
    <row r="60" spans="19:19">
      <c r="S60" s="30">
        <v>1E-4</v>
      </c>
    </row>
    <row r="61" spans="19:19">
      <c r="S61" s="30">
        <v>0</v>
      </c>
    </row>
    <row r="62" spans="19:19">
      <c r="S62" s="30">
        <v>0</v>
      </c>
    </row>
    <row r="63" spans="19:19">
      <c r="S63" s="30">
        <v>1E-4</v>
      </c>
    </row>
    <row r="64" spans="19:19">
      <c r="S64" s="30">
        <v>0</v>
      </c>
    </row>
    <row r="65" spans="19:19">
      <c r="S65" s="30">
        <v>0</v>
      </c>
    </row>
    <row r="66" spans="19:19">
      <c r="S66" s="30">
        <v>1E-4</v>
      </c>
    </row>
    <row r="67" spans="19:19">
      <c r="S67" s="30">
        <v>1E-4</v>
      </c>
    </row>
    <row r="68" spans="19:19">
      <c r="S68" s="30">
        <v>1E-4</v>
      </c>
    </row>
    <row r="69" spans="19:19">
      <c r="S69" s="30">
        <v>1E-4</v>
      </c>
    </row>
    <row r="70" spans="19:19">
      <c r="S70" s="30">
        <v>1E-4</v>
      </c>
    </row>
    <row r="71" spans="19:19">
      <c r="S71" s="30">
        <v>1E-4</v>
      </c>
    </row>
    <row r="72" spans="19:19">
      <c r="S72" s="30">
        <v>1E-4</v>
      </c>
    </row>
    <row r="73" spans="19:19">
      <c r="S73" s="30">
        <v>1E-4</v>
      </c>
    </row>
    <row r="74" spans="19:19">
      <c r="S74" s="30">
        <v>1E-4</v>
      </c>
    </row>
    <row r="75" spans="19:19">
      <c r="S75" s="30">
        <v>1E-4</v>
      </c>
    </row>
    <row r="76" spans="19:19">
      <c r="S76" s="30">
        <v>1E-4</v>
      </c>
    </row>
    <row r="77" spans="19:19">
      <c r="S77" s="30">
        <v>1E-4</v>
      </c>
    </row>
    <row r="78" spans="19:19">
      <c r="S78" s="30">
        <v>1E-4</v>
      </c>
    </row>
    <row r="79" spans="19:19">
      <c r="S79" s="30">
        <v>0</v>
      </c>
    </row>
    <row r="80" spans="19:19">
      <c r="S80" s="30">
        <v>0</v>
      </c>
    </row>
    <row r="81" spans="19:19">
      <c r="S81" s="30">
        <v>0</v>
      </c>
    </row>
    <row r="82" spans="19:19">
      <c r="S82" s="30">
        <v>0</v>
      </c>
    </row>
    <row r="83" spans="19:19">
      <c r="S83" s="30">
        <v>1E-4</v>
      </c>
    </row>
    <row r="84" spans="19:19">
      <c r="S84" s="30">
        <v>0</v>
      </c>
    </row>
    <row r="85" spans="19:19">
      <c r="S85" s="30">
        <v>0</v>
      </c>
    </row>
    <row r="86" spans="19:19">
      <c r="S86" s="30">
        <v>0</v>
      </c>
    </row>
    <row r="87" spans="19:19">
      <c r="S87" s="30">
        <v>0</v>
      </c>
    </row>
    <row r="88" spans="19:19">
      <c r="S88" s="30">
        <v>0</v>
      </c>
    </row>
    <row r="89" spans="19:19">
      <c r="S89" s="30">
        <v>0</v>
      </c>
    </row>
    <row r="90" spans="19:19">
      <c r="S90" s="30">
        <v>0</v>
      </c>
    </row>
    <row r="91" spans="19:19">
      <c r="S91" s="30">
        <v>0</v>
      </c>
    </row>
    <row r="92" spans="19:19">
      <c r="S92" s="30">
        <v>1E-4</v>
      </c>
    </row>
    <row r="93" spans="19:19">
      <c r="S93" s="30">
        <v>0</v>
      </c>
    </row>
    <row r="94" spans="19:19">
      <c r="S94" s="30">
        <v>0</v>
      </c>
    </row>
    <row r="95" spans="19:19">
      <c r="S95" s="30">
        <v>1E-4</v>
      </c>
    </row>
    <row r="96" spans="19:19">
      <c r="S96" s="30">
        <v>1E-4</v>
      </c>
    </row>
    <row r="97" spans="19:19">
      <c r="S97" s="30">
        <v>1E-4</v>
      </c>
    </row>
    <row r="98" spans="19:19">
      <c r="S98" s="30">
        <v>1E-4</v>
      </c>
    </row>
    <row r="99" spans="19:19">
      <c r="S99" s="30">
        <v>1E-4</v>
      </c>
    </row>
    <row r="100" spans="19:19">
      <c r="S100" s="30">
        <v>0</v>
      </c>
    </row>
    <row r="101" spans="19:19">
      <c r="S101" s="30">
        <v>0</v>
      </c>
    </row>
    <row r="102" spans="19:19">
      <c r="S102" s="30">
        <v>0</v>
      </c>
    </row>
    <row r="103" spans="19:19">
      <c r="S103" s="30">
        <v>0</v>
      </c>
    </row>
    <row r="104" spans="19:19">
      <c r="S104" s="30">
        <v>0</v>
      </c>
    </row>
    <row r="105" spans="19:19">
      <c r="S105" s="30">
        <v>0</v>
      </c>
    </row>
    <row r="106" spans="19:19">
      <c r="S106" s="30">
        <v>0</v>
      </c>
    </row>
    <row r="107" spans="19:19">
      <c r="S107" s="30">
        <v>0</v>
      </c>
    </row>
    <row r="108" spans="19:19">
      <c r="S108" s="30">
        <v>0</v>
      </c>
    </row>
    <row r="109" spans="19:19">
      <c r="S109" s="30">
        <v>0</v>
      </c>
    </row>
    <row r="110" spans="19:19">
      <c r="S110" s="30">
        <v>0</v>
      </c>
    </row>
    <row r="111" spans="19:19">
      <c r="S111" s="30">
        <v>0</v>
      </c>
    </row>
    <row r="112" spans="19:19">
      <c r="S112" s="30">
        <v>0</v>
      </c>
    </row>
    <row r="113" spans="19:19">
      <c r="S113" s="30">
        <v>0</v>
      </c>
    </row>
    <row r="114" spans="19:19">
      <c r="S114" s="30">
        <v>0</v>
      </c>
    </row>
    <row r="115" spans="19:19">
      <c r="S115" s="30">
        <v>0</v>
      </c>
    </row>
    <row r="116" spans="19:19">
      <c r="S116" s="30">
        <v>0</v>
      </c>
    </row>
    <row r="117" spans="19:19">
      <c r="S117" s="30">
        <v>0</v>
      </c>
    </row>
    <row r="118" spans="19:19">
      <c r="S118" s="30">
        <v>0</v>
      </c>
    </row>
    <row r="119" spans="19:19">
      <c r="S119" s="30">
        <v>0</v>
      </c>
    </row>
    <row r="120" spans="19:19">
      <c r="S120" s="30">
        <v>0</v>
      </c>
    </row>
    <row r="121" spans="19:19">
      <c r="S121" s="30">
        <v>0</v>
      </c>
    </row>
    <row r="122" spans="19:19">
      <c r="S122" s="30">
        <v>0</v>
      </c>
    </row>
    <row r="123" spans="19:19">
      <c r="S123" s="30">
        <v>0</v>
      </c>
    </row>
    <row r="124" spans="19:19">
      <c r="S124" s="30">
        <v>0</v>
      </c>
    </row>
    <row r="125" spans="19:19">
      <c r="S125" s="30">
        <v>0</v>
      </c>
    </row>
    <row r="126" spans="19:19">
      <c r="S126" s="30">
        <v>0</v>
      </c>
    </row>
    <row r="127" spans="19:19">
      <c r="S127" s="30">
        <v>0</v>
      </c>
    </row>
    <row r="128" spans="19:19">
      <c r="S128" s="30">
        <v>0</v>
      </c>
    </row>
    <row r="129" spans="19:19">
      <c r="S129" s="30">
        <v>0</v>
      </c>
    </row>
    <row r="130" spans="19:19">
      <c r="S130" s="30">
        <v>0</v>
      </c>
    </row>
    <row r="131" spans="19:19">
      <c r="S131" s="30">
        <v>0</v>
      </c>
    </row>
    <row r="132" spans="19:19">
      <c r="S132" s="30">
        <v>0</v>
      </c>
    </row>
    <row r="133" spans="19:19">
      <c r="S133" s="30">
        <v>0</v>
      </c>
    </row>
    <row r="134" spans="19:19">
      <c r="S134" s="30">
        <v>0</v>
      </c>
    </row>
    <row r="135" spans="19:19">
      <c r="S135" s="30">
        <v>1E-4</v>
      </c>
    </row>
    <row r="136" spans="19:19">
      <c r="S136" s="30">
        <v>1E-4</v>
      </c>
    </row>
    <row r="137" spans="19:19">
      <c r="S137" s="30">
        <v>2.0000000000000001E-4</v>
      </c>
    </row>
    <row r="138" spans="19:19">
      <c r="S138" s="30">
        <v>2.0000000000000001E-4</v>
      </c>
    </row>
    <row r="139" spans="19:19">
      <c r="S139" s="30">
        <v>1E-4</v>
      </c>
    </row>
    <row r="140" spans="19:19">
      <c r="S140" s="30">
        <v>1E-4</v>
      </c>
    </row>
    <row r="141" spans="19:19">
      <c r="S141" s="30">
        <v>2.0000000000000001E-4</v>
      </c>
    </row>
    <row r="142" spans="19:19">
      <c r="S142" s="30">
        <v>2.0000000000000001E-4</v>
      </c>
    </row>
    <row r="143" spans="19:19">
      <c r="S143" s="30">
        <v>2.0000000000000001E-4</v>
      </c>
    </row>
    <row r="144" spans="19:19">
      <c r="S144" s="30">
        <v>2.0000000000000001E-4</v>
      </c>
    </row>
    <row r="145" spans="19:19">
      <c r="S145" s="30">
        <v>2.0000000000000001E-4</v>
      </c>
    </row>
    <row r="146" spans="19:19">
      <c r="S146" s="30">
        <v>1E-4</v>
      </c>
    </row>
    <row r="147" spans="19:19">
      <c r="S147" s="30">
        <v>2.9999999999999997E-4</v>
      </c>
    </row>
    <row r="148" spans="19:19">
      <c r="S148" s="30">
        <v>4.0000000000000002E-4</v>
      </c>
    </row>
    <row r="149" spans="19:19">
      <c r="S149" s="30">
        <v>4.0000000000000002E-4</v>
      </c>
    </row>
    <row r="150" spans="19:19">
      <c r="S150" s="30">
        <v>2.9999999999999997E-4</v>
      </c>
    </row>
    <row r="151" spans="19:19">
      <c r="S151" s="30">
        <v>5.0000000000000001E-4</v>
      </c>
    </row>
    <row r="152" spans="19:19">
      <c r="S152" s="30">
        <v>5.9999999999999995E-4</v>
      </c>
    </row>
    <row r="153" spans="19:19">
      <c r="S153" s="30">
        <v>5.9999999999999995E-4</v>
      </c>
    </row>
    <row r="154" spans="19:19">
      <c r="S154" s="30">
        <v>7.000000000000001E-4</v>
      </c>
    </row>
    <row r="155" spans="19:19">
      <c r="S155" s="30">
        <v>8.9999999999999998E-4</v>
      </c>
    </row>
    <row r="156" spans="19:19">
      <c r="S156" s="30">
        <v>8.9999999999999998E-4</v>
      </c>
    </row>
    <row r="157" spans="19:19">
      <c r="S157" s="30">
        <v>8.9999999999999998E-4</v>
      </c>
    </row>
    <row r="158" spans="19:19">
      <c r="S158" s="30">
        <v>8.0000000000000004E-4</v>
      </c>
    </row>
    <row r="159" spans="19:19">
      <c r="S159" s="30">
        <v>8.9999999999999998E-4</v>
      </c>
    </row>
    <row r="160" spans="19:19">
      <c r="S160" s="30">
        <v>1.1000000000000001E-3</v>
      </c>
    </row>
    <row r="161" spans="19:19">
      <c r="S161" s="30">
        <v>1.1000000000000001E-3</v>
      </c>
    </row>
    <row r="162" spans="19:19">
      <c r="S162" s="30">
        <v>1.1999999999999999E-3</v>
      </c>
    </row>
    <row r="163" spans="19:19">
      <c r="S163" s="30">
        <v>1.4000000000000002E-3</v>
      </c>
    </row>
    <row r="164" spans="19:19">
      <c r="S164" s="30">
        <v>1.4000000000000002E-3</v>
      </c>
    </row>
    <row r="165" spans="19:19">
      <c r="S165" s="30">
        <v>1.4000000000000002E-3</v>
      </c>
    </row>
    <row r="166" spans="19:19">
      <c r="S166" s="30">
        <v>1.6000000000000001E-3</v>
      </c>
    </row>
    <row r="167" spans="19:19">
      <c r="S167" s="30">
        <v>1.6000000000000001E-3</v>
      </c>
    </row>
    <row r="168" spans="19:19">
      <c r="S168" s="30">
        <v>1.5E-3</v>
      </c>
    </row>
    <row r="169" spans="19:19">
      <c r="S169" s="30">
        <v>1.9E-3</v>
      </c>
    </row>
    <row r="170" spans="19:19">
      <c r="S170" s="30">
        <v>1.8E-3</v>
      </c>
    </row>
    <row r="171" spans="19:19">
      <c r="S171" s="30">
        <v>1.9E-3</v>
      </c>
    </row>
    <row r="172" spans="19:19">
      <c r="S172" s="30">
        <v>2.0999999999999999E-3</v>
      </c>
    </row>
    <row r="173" spans="19:19">
      <c r="S173" s="30">
        <v>1.8E-3</v>
      </c>
    </row>
    <row r="174" spans="19:19">
      <c r="S174" s="30">
        <v>1.9E-3</v>
      </c>
    </row>
    <row r="175" spans="19:19">
      <c r="S175" s="30">
        <v>2.0999999999999999E-3</v>
      </c>
    </row>
    <row r="176" spans="19:19">
      <c r="S176" s="30">
        <v>2.0999999999999999E-3</v>
      </c>
    </row>
    <row r="177" spans="19:19">
      <c r="S177" s="30">
        <v>1.8E-3</v>
      </c>
    </row>
    <row r="178" spans="19:19">
      <c r="S178" s="30">
        <v>1.9E-3</v>
      </c>
    </row>
    <row r="179" spans="19:19">
      <c r="S179" s="30">
        <v>1.6000000000000001E-3</v>
      </c>
    </row>
    <row r="180" spans="19:19">
      <c r="S180" s="30">
        <v>1.8E-3</v>
      </c>
    </row>
    <row r="181" spans="19:19">
      <c r="S181" s="30">
        <v>1.5E-3</v>
      </c>
    </row>
    <row r="182" spans="19:19">
      <c r="S182" s="30">
        <v>1.1999999999999999E-3</v>
      </c>
    </row>
    <row r="183" spans="19:19">
      <c r="S183" s="30">
        <v>1.4000000000000002E-3</v>
      </c>
    </row>
    <row r="184" spans="19:19">
      <c r="S184" s="30">
        <v>1.2999999999999999E-3</v>
      </c>
    </row>
    <row r="185" spans="19:19">
      <c r="S185" s="30">
        <v>1.1999999999999999E-3</v>
      </c>
    </row>
    <row r="186" spans="19:19">
      <c r="S186" s="30">
        <v>1.1999999999999999E-3</v>
      </c>
    </row>
    <row r="187" spans="19:19">
      <c r="S187" s="30">
        <v>0</v>
      </c>
    </row>
    <row r="188" spans="19:19">
      <c r="S188" s="30">
        <v>1E-4</v>
      </c>
    </row>
    <row r="189" spans="19:19">
      <c r="S189" s="30">
        <v>1E-4</v>
      </c>
    </row>
    <row r="190" spans="19:19">
      <c r="S190" s="30">
        <v>1E-4</v>
      </c>
    </row>
    <row r="191" spans="19:19">
      <c r="S191" s="30">
        <v>1E-4</v>
      </c>
    </row>
    <row r="192" spans="19:19">
      <c r="S192" s="30">
        <v>1E-4</v>
      </c>
    </row>
    <row r="193" spans="19:19">
      <c r="S193" s="30">
        <v>1E-4</v>
      </c>
    </row>
    <row r="194" spans="19:19">
      <c r="S194" s="30">
        <v>1E-4</v>
      </c>
    </row>
    <row r="195" spans="19:19">
      <c r="S195" s="30">
        <v>1E-4</v>
      </c>
    </row>
    <row r="196" spans="19:19">
      <c r="S196" s="30">
        <v>0</v>
      </c>
    </row>
    <row r="197" spans="19:19">
      <c r="S197" s="30">
        <v>0</v>
      </c>
    </row>
    <row r="198" spans="19:19">
      <c r="S198" s="30">
        <v>0</v>
      </c>
    </row>
    <row r="199" spans="19:19">
      <c r="S199" s="30">
        <v>0</v>
      </c>
    </row>
    <row r="200" spans="19:19">
      <c r="S200" s="30">
        <v>0</v>
      </c>
    </row>
    <row r="201" spans="19:19">
      <c r="S201" s="30">
        <v>0</v>
      </c>
    </row>
    <row r="202" spans="19:19">
      <c r="S202" s="30">
        <v>0</v>
      </c>
    </row>
    <row r="203" spans="19:19">
      <c r="S203" s="30">
        <v>0</v>
      </c>
    </row>
    <row r="204" spans="19:19">
      <c r="S204" s="30">
        <v>0</v>
      </c>
    </row>
    <row r="205" spans="19:19">
      <c r="S205" s="30">
        <v>0</v>
      </c>
    </row>
    <row r="206" spans="19:19">
      <c r="S206" s="30">
        <v>0</v>
      </c>
    </row>
    <row r="207" spans="19:19">
      <c r="S207" s="30">
        <v>1E-4</v>
      </c>
    </row>
    <row r="208" spans="19:19">
      <c r="S208" s="30">
        <v>0</v>
      </c>
    </row>
    <row r="209" spans="19:19">
      <c r="S209" s="30">
        <v>0</v>
      </c>
    </row>
    <row r="210" spans="19:19">
      <c r="S210" s="30">
        <v>0</v>
      </c>
    </row>
    <row r="211" spans="19:19">
      <c r="S211" s="30">
        <v>0</v>
      </c>
    </row>
    <row r="212" spans="19:19">
      <c r="S212" s="30">
        <v>2.9999999999999997E-4</v>
      </c>
    </row>
    <row r="213" spans="19:19">
      <c r="S213" s="30">
        <v>5.9999999999999995E-4</v>
      </c>
    </row>
    <row r="214" spans="19:19">
      <c r="S214" s="30">
        <v>8.0000000000000004E-4</v>
      </c>
    </row>
    <row r="215" spans="19:19">
      <c r="S215" s="30">
        <v>1.9E-3</v>
      </c>
    </row>
    <row r="216" spans="19:19">
      <c r="S216" s="30">
        <v>1.9E-3</v>
      </c>
    </row>
    <row r="217" spans="19:19">
      <c r="S217" s="30">
        <v>2.3E-3</v>
      </c>
    </row>
    <row r="218" spans="19:19">
      <c r="S218" s="30">
        <v>2.8999999999999998E-3</v>
      </c>
    </row>
    <row r="219" spans="19:19">
      <c r="S219" s="30">
        <v>3.3E-3</v>
      </c>
    </row>
    <row r="220" spans="19:19">
      <c r="S220" s="30">
        <v>3.4999999999999996E-3</v>
      </c>
    </row>
    <row r="221" spans="19:19">
      <c r="S221" s="30">
        <v>3.4000000000000002E-3</v>
      </c>
    </row>
    <row r="222" spans="19:19">
      <c r="S222" s="30">
        <v>3.5999999999999999E-3</v>
      </c>
    </row>
    <row r="223" spans="19:19">
      <c r="S223" s="30">
        <v>3.4999999999999996E-3</v>
      </c>
    </row>
    <row r="224" spans="19:19">
      <c r="S224" s="30">
        <v>3.5999999999999999E-3</v>
      </c>
    </row>
    <row r="225" spans="19:19">
      <c r="S225" s="30">
        <v>4.0000000000000001E-3</v>
      </c>
    </row>
    <row r="226" spans="19:19">
      <c r="S226" s="30">
        <v>4.5000000000000005E-3</v>
      </c>
    </row>
    <row r="227" spans="19:19">
      <c r="S227" s="30">
        <v>4.5000000000000005E-3</v>
      </c>
    </row>
    <row r="228" spans="19:19">
      <c r="S228" s="30">
        <v>4.3E-3</v>
      </c>
    </row>
    <row r="229" spans="19:19">
      <c r="S229" s="30">
        <v>4.6999999999999993E-3</v>
      </c>
    </row>
    <row r="230" spans="19:19">
      <c r="S230" s="30">
        <v>4.4000000000000003E-3</v>
      </c>
    </row>
    <row r="231" spans="19:19">
      <c r="S231" s="30">
        <v>4.3E-3</v>
      </c>
    </row>
    <row r="232" spans="19:19">
      <c r="S232" s="30">
        <v>4.6999999999999993E-3</v>
      </c>
    </row>
    <row r="233" spans="19:19">
      <c r="S233" s="30">
        <v>4.1999999999999997E-3</v>
      </c>
    </row>
    <row r="234" spans="19:19">
      <c r="S234" s="30">
        <v>4.3E-3</v>
      </c>
    </row>
    <row r="235" spans="19:19">
      <c r="S235" s="30">
        <v>4.6999999999999993E-3</v>
      </c>
    </row>
    <row r="236" spans="19:19">
      <c r="S236" s="30">
        <v>4.4000000000000003E-3</v>
      </c>
    </row>
    <row r="237" spans="19:19">
      <c r="S237" s="30">
        <v>4.0999999999999995E-3</v>
      </c>
    </row>
    <row r="238" spans="19:19">
      <c r="S238" s="30">
        <v>4.5000000000000005E-3</v>
      </c>
    </row>
    <row r="239" spans="19:19">
      <c r="S239" s="30">
        <v>4.7999999999999996E-3</v>
      </c>
    </row>
    <row r="240" spans="19:19">
      <c r="S240" s="30">
        <v>4.0000000000000001E-3</v>
      </c>
    </row>
    <row r="241" spans="19:19">
      <c r="S241" s="30">
        <v>3.9000000000000003E-3</v>
      </c>
    </row>
    <row r="242" spans="19:19">
      <c r="S242" s="30">
        <v>4.0000000000000001E-3</v>
      </c>
    </row>
    <row r="243" spans="19:19">
      <c r="S243" s="30">
        <v>3.7000000000000002E-3</v>
      </c>
    </row>
  </sheetData>
  <mergeCells count="5">
    <mergeCell ref="L3:O3"/>
    <mergeCell ref="L9:O9"/>
    <mergeCell ref="L16:Q16"/>
    <mergeCell ref="L26:M26"/>
    <mergeCell ref="L27:M27"/>
  </mergeCells>
  <phoneticPr fontId="5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3"/>
  <sheetViews>
    <sheetView zoomScale="90" zoomScaleNormal="90" workbookViewId="0">
      <selection activeCell="O15" sqref="O15"/>
    </sheetView>
  </sheetViews>
  <sheetFormatPr defaultColWidth="8.85546875" defaultRowHeight="12.6"/>
  <cols>
    <col min="2" max="2" width="15.42578125" customWidth="1"/>
    <col min="3" max="3" width="20.140625" bestFit="1" customWidth="1"/>
    <col min="5" max="5" width="18" bestFit="1" customWidth="1"/>
    <col min="12" max="12" width="9.140625" style="12"/>
    <col min="13" max="13" width="12" bestFit="1" customWidth="1"/>
    <col min="15" max="15" width="9.5703125" bestFit="1" customWidth="1"/>
    <col min="17" max="17" width="12.42578125" customWidth="1"/>
  </cols>
  <sheetData>
    <row r="1" spans="1:17" ht="12.95">
      <c r="A1" s="1" t="s">
        <v>22</v>
      </c>
      <c r="L1" s="15" t="s">
        <v>23</v>
      </c>
    </row>
    <row r="3" spans="1:17" ht="12.95">
      <c r="A3" s="1" t="s">
        <v>67</v>
      </c>
      <c r="L3" s="13" t="s">
        <v>68</v>
      </c>
      <c r="N3" t="s">
        <v>69</v>
      </c>
    </row>
    <row r="5" spans="1:17" ht="12.95">
      <c r="A5" s="3" t="s">
        <v>70</v>
      </c>
      <c r="B5" s="3" t="s">
        <v>71</v>
      </c>
      <c r="C5" s="11">
        <f>M21/SQRT(M10)</f>
        <v>2.6419208612810081</v>
      </c>
      <c r="L5" s="82" t="s">
        <v>49</v>
      </c>
      <c r="M5" s="79"/>
      <c r="N5" s="79"/>
      <c r="O5" s="79"/>
      <c r="Q5" s="74" t="s">
        <v>66</v>
      </c>
    </row>
    <row r="6" spans="1:17">
      <c r="B6" s="3" t="s">
        <v>72</v>
      </c>
      <c r="C6" s="11">
        <f>1-C5</f>
        <v>-1.6419208612810081</v>
      </c>
      <c r="L6" s="12" t="s">
        <v>1</v>
      </c>
      <c r="M6" s="3" t="s">
        <v>2</v>
      </c>
      <c r="N6" t="s">
        <v>3</v>
      </c>
      <c r="O6" t="s">
        <v>50</v>
      </c>
      <c r="Q6" s="76">
        <v>1.2858921161825714E-3</v>
      </c>
    </row>
    <row r="7" spans="1:17">
      <c r="L7" s="12">
        <v>0.23215686269362426</v>
      </c>
      <c r="M7">
        <v>0.46401675989913416</v>
      </c>
      <c r="N7">
        <v>0.30382637740724183</v>
      </c>
      <c r="O7">
        <v>1.0000000000000002</v>
      </c>
      <c r="Q7" s="43"/>
    </row>
    <row r="8" spans="1:17">
      <c r="A8" s="3" t="s">
        <v>73</v>
      </c>
      <c r="M8" s="3"/>
    </row>
    <row r="9" spans="1:17" ht="15">
      <c r="B9" s="3" t="s">
        <v>74</v>
      </c>
      <c r="C9" s="40">
        <f>C5*M9+C6*Q6</f>
        <v>2.3349558004878465E-2</v>
      </c>
      <c r="H9" s="19"/>
      <c r="L9" s="12" t="s">
        <v>55</v>
      </c>
      <c r="M9" s="43">
        <v>9.6372648662344865E-3</v>
      </c>
      <c r="P9" s="3"/>
    </row>
    <row r="10" spans="1:17">
      <c r="B10" s="3" t="s">
        <v>75</v>
      </c>
      <c r="C10" s="58">
        <f>C5*SQRT(M10)</f>
        <v>0.16934010845783343</v>
      </c>
      <c r="L10" s="13" t="s">
        <v>56</v>
      </c>
      <c r="M10" s="43">
        <v>4.1084694201013461E-3</v>
      </c>
    </row>
    <row r="11" spans="1:17">
      <c r="M11" s="3"/>
    </row>
    <row r="12" spans="1:17">
      <c r="A12" s="3" t="s">
        <v>76</v>
      </c>
      <c r="L12" s="12" t="s">
        <v>57</v>
      </c>
      <c r="M12" s="3">
        <v>0.13029202644091767</v>
      </c>
    </row>
    <row r="13" spans="1:17">
      <c r="C13" s="3" t="s">
        <v>70</v>
      </c>
      <c r="E13" s="3" t="s">
        <v>77</v>
      </c>
      <c r="M13" s="3"/>
      <c r="Q13" s="3"/>
    </row>
    <row r="14" spans="1:17">
      <c r="B14" s="3" t="str">
        <f>'Task 4 Cov,Corr Student'!C4</f>
        <v>XOM</v>
      </c>
      <c r="C14" s="11">
        <f>L7*C5</f>
        <v>0.61334005863983654</v>
      </c>
      <c r="E14" s="70">
        <f>C14*10000</f>
        <v>6133.4005863983657</v>
      </c>
      <c r="M14" s="3"/>
    </row>
    <row r="15" spans="1:17" ht="12.95">
      <c r="B15" s="3" t="str">
        <f>'Task 4 Cov,Corr Student'!B6</f>
        <v>JNJ</v>
      </c>
      <c r="C15" s="11">
        <f>M7*C5</f>
        <v>1.2258955579615434</v>
      </c>
      <c r="E15" s="70">
        <f t="shared" ref="E15:E18" si="0">C15*10000</f>
        <v>12258.955579615435</v>
      </c>
      <c r="L15" s="82" t="s">
        <v>4</v>
      </c>
      <c r="M15" s="79"/>
      <c r="P15" s="3"/>
    </row>
    <row r="16" spans="1:17">
      <c r="B16" s="3" t="str">
        <f>'Task 4 Cov,Corr Student'!B7</f>
        <v>AMD</v>
      </c>
      <c r="C16" s="11">
        <f>N7*C5</f>
        <v>0.80268524467962898</v>
      </c>
      <c r="E16" s="70">
        <f t="shared" si="0"/>
        <v>8026.8524467962898</v>
      </c>
      <c r="L16" s="13" t="s">
        <v>78</v>
      </c>
      <c r="M16" s="43">
        <v>7.5495133911822427E-3</v>
      </c>
    </row>
    <row r="17" spans="1:18">
      <c r="C17" s="9"/>
      <c r="E17" s="70"/>
      <c r="L17" s="13" t="s">
        <v>43</v>
      </c>
      <c r="M17" s="43">
        <v>4.3307152318100423E-2</v>
      </c>
    </row>
    <row r="18" spans="1:18">
      <c r="B18" s="3" t="s">
        <v>79</v>
      </c>
      <c r="C18" s="11">
        <f>C6</f>
        <v>-1.6419208612810081</v>
      </c>
      <c r="E18" s="70">
        <f t="shared" si="0"/>
        <v>-16419.208612810082</v>
      </c>
    </row>
    <row r="19" spans="1:18" ht="12.95">
      <c r="L19" s="82" t="s">
        <v>3</v>
      </c>
      <c r="M19" s="79"/>
    </row>
    <row r="20" spans="1:18">
      <c r="A20" s="3" t="s">
        <v>80</v>
      </c>
      <c r="L20" s="13" t="s">
        <v>78</v>
      </c>
      <c r="M20" s="43">
        <v>2.1033367861788842E-2</v>
      </c>
    </row>
    <row r="21" spans="1:18">
      <c r="L21" s="13" t="s">
        <v>43</v>
      </c>
      <c r="M21" s="59">
        <v>0.16934010845783343</v>
      </c>
    </row>
    <row r="22" spans="1:18">
      <c r="E22" s="3" t="s">
        <v>81</v>
      </c>
    </row>
    <row r="23" spans="1:18">
      <c r="B23" s="3" t="s">
        <v>82</v>
      </c>
      <c r="E23" s="70">
        <f>10000*(1+C9)^(12*20)</f>
        <v>2545432.1063645487</v>
      </c>
    </row>
    <row r="24" spans="1:18">
      <c r="B24" s="3" t="s">
        <v>3</v>
      </c>
      <c r="E24" s="70">
        <f>10000*(1+M20)^(12*20)</f>
        <v>1477693.8476755649</v>
      </c>
    </row>
    <row r="25" spans="1:18">
      <c r="E25" s="71"/>
      <c r="M25" s="3"/>
    </row>
    <row r="26" spans="1:18">
      <c r="B26" s="3" t="s">
        <v>31</v>
      </c>
      <c r="E26" s="70">
        <f>E23-E24</f>
        <v>1067738.2586889837</v>
      </c>
    </row>
    <row r="27" spans="1:18">
      <c r="L27" s="13"/>
      <c r="P27" s="3"/>
      <c r="Q27" s="3"/>
    </row>
    <row r="28" spans="1:18" ht="12.95">
      <c r="A28" s="1" t="s">
        <v>83</v>
      </c>
      <c r="M28" s="3"/>
    </row>
    <row r="30" spans="1:18">
      <c r="A30" s="3" t="s">
        <v>70</v>
      </c>
      <c r="B30" s="3" t="s">
        <v>4</v>
      </c>
      <c r="C30" s="11">
        <f>M21/M17</f>
        <v>3.9102111174152854</v>
      </c>
      <c r="M30" s="3"/>
    </row>
    <row r="31" spans="1:18">
      <c r="B31" s="3" t="s">
        <v>72</v>
      </c>
      <c r="C31" s="60">
        <f>1-C30</f>
        <v>-2.9102111174152854</v>
      </c>
      <c r="P31" s="3"/>
      <c r="R31" s="3"/>
    </row>
    <row r="32" spans="1:18">
      <c r="L32" s="13"/>
    </row>
    <row r="33" spans="1:17">
      <c r="A33" s="3" t="s">
        <v>73</v>
      </c>
      <c r="L33" s="13"/>
      <c r="N33" s="3"/>
      <c r="P33" s="3"/>
      <c r="Q33" s="3"/>
    </row>
    <row r="34" spans="1:17">
      <c r="B34" s="3" t="s">
        <v>74</v>
      </c>
      <c r="C34" s="61">
        <f>C30*M16+C31*Q6</f>
        <v>2.5777973660965191E-2</v>
      </c>
      <c r="M34" s="3"/>
    </row>
    <row r="35" spans="1:17">
      <c r="B35" s="3" t="s">
        <v>75</v>
      </c>
      <c r="C35" s="62">
        <f>C30*M17</f>
        <v>0.16934010845783343</v>
      </c>
      <c r="M35" s="3"/>
    </row>
    <row r="36" spans="1:17">
      <c r="N36" s="3"/>
    </row>
    <row r="37" spans="1:17">
      <c r="A37" s="3" t="s">
        <v>80</v>
      </c>
      <c r="M37" s="3"/>
    </row>
    <row r="39" spans="1:17">
      <c r="E39" s="3" t="s">
        <v>81</v>
      </c>
    </row>
    <row r="40" spans="1:17">
      <c r="B40" s="3" t="s">
        <v>82</v>
      </c>
      <c r="E40" s="70">
        <f>10000*(1+C34)^(12*20)</f>
        <v>4495817.0842175866</v>
      </c>
    </row>
    <row r="41" spans="1:17">
      <c r="B41" s="3" t="s">
        <v>3</v>
      </c>
      <c r="E41" s="72">
        <f>10000*(1+M20)^(12*20)</f>
        <v>1477693.8476755649</v>
      </c>
    </row>
    <row r="42" spans="1:17">
      <c r="E42" s="71"/>
    </row>
    <row r="43" spans="1:17">
      <c r="B43" s="3" t="s">
        <v>31</v>
      </c>
      <c r="E43" s="70">
        <f>E40-E41</f>
        <v>3018123.2365420219</v>
      </c>
    </row>
  </sheetData>
  <mergeCells count="3">
    <mergeCell ref="L5:O5"/>
    <mergeCell ref="L15:M15"/>
    <mergeCell ref="L19:M19"/>
  </mergeCells>
  <phoneticPr fontId="5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46"/>
  <sheetViews>
    <sheetView tabSelected="1" topLeftCell="C1" zoomScale="85" zoomScaleNormal="100" workbookViewId="0">
      <selection activeCell="T14" sqref="T14"/>
    </sheetView>
  </sheetViews>
  <sheetFormatPr defaultColWidth="8.85546875" defaultRowHeight="12.6"/>
  <cols>
    <col min="3" max="6" width="14.7109375" customWidth="1"/>
    <col min="12" max="12" width="10" style="12" bestFit="1" customWidth="1"/>
    <col min="13" max="13" width="9.85546875" bestFit="1" customWidth="1"/>
    <col min="14" max="14" width="10.42578125" bestFit="1" customWidth="1"/>
    <col min="15" max="15" width="9.5703125" bestFit="1" customWidth="1"/>
    <col min="16" max="16" width="11.7109375" bestFit="1" customWidth="1"/>
    <col min="17" max="17" width="12.85546875" customWidth="1"/>
    <col min="18" max="18" width="11.5703125" bestFit="1" customWidth="1"/>
    <col min="19" max="19" width="9.5703125" bestFit="1" customWidth="1"/>
    <col min="20" max="20" width="23.42578125" bestFit="1" customWidth="1"/>
    <col min="21" max="21" width="1.140625" customWidth="1"/>
    <col min="22" max="22" width="30.140625" bestFit="1" customWidth="1"/>
    <col min="23" max="23" width="7.42578125" customWidth="1"/>
    <col min="24" max="24" width="14.42578125" bestFit="1" customWidth="1"/>
    <col min="25" max="25" width="1.140625" customWidth="1"/>
    <col min="26" max="26" width="21.28515625" bestFit="1" customWidth="1"/>
    <col min="29" max="31" width="9" bestFit="1" customWidth="1"/>
    <col min="32" max="32" width="13.85546875" bestFit="1" customWidth="1"/>
    <col min="33" max="33" width="12.5703125" bestFit="1" customWidth="1"/>
    <col min="34" max="36" width="8.85546875" bestFit="1" customWidth="1"/>
  </cols>
  <sheetData>
    <row r="1" spans="1:33" ht="12.95">
      <c r="A1" s="1" t="s">
        <v>22</v>
      </c>
      <c r="L1" s="15" t="s">
        <v>23</v>
      </c>
      <c r="M1" s="1"/>
      <c r="O1" s="87" t="s">
        <v>84</v>
      </c>
      <c r="P1" s="87"/>
      <c r="Q1" s="87"/>
      <c r="R1" s="87"/>
      <c r="S1" s="87"/>
    </row>
    <row r="2" spans="1:33" ht="12.95">
      <c r="L2" s="82" t="s">
        <v>85</v>
      </c>
      <c r="M2" s="79"/>
      <c r="N2" s="79"/>
      <c r="Q2" s="74" t="s">
        <v>66</v>
      </c>
    </row>
    <row r="3" spans="1:33">
      <c r="A3" s="3" t="s">
        <v>86</v>
      </c>
      <c r="L3" s="12">
        <v>0.23215686269362426</v>
      </c>
      <c r="M3">
        <v>0.46401675989913416</v>
      </c>
      <c r="N3">
        <v>0.30382637740724183</v>
      </c>
      <c r="P3" s="3"/>
      <c r="Q3" s="43">
        <v>1.2858921161825714E-3</v>
      </c>
    </row>
    <row r="4" spans="1:33">
      <c r="C4" s="3" t="s">
        <v>87</v>
      </c>
      <c r="D4" s="18" t="str">
        <f>'Task 2 Mean,Stdev Student'!D3</f>
        <v>XOM</v>
      </c>
      <c r="E4" s="18" t="str">
        <f>'Task 2 Mean,Stdev Student'!E3</f>
        <v>JNJ</v>
      </c>
      <c r="F4" s="18" t="str">
        <f>'Task 2 Mean,Stdev Student'!F3</f>
        <v>AMD</v>
      </c>
    </row>
    <row r="5" spans="1:33" ht="12.95">
      <c r="A5" s="3" t="s">
        <v>88</v>
      </c>
      <c r="C5" s="77">
        <v>1.4626150217340421E-3</v>
      </c>
      <c r="D5" s="77">
        <v>-8.5686502603278623E-4</v>
      </c>
      <c r="E5" s="77">
        <v>-4.3847370997933399E-4</v>
      </c>
      <c r="F5" s="77">
        <v>6.1383783858748649E-3</v>
      </c>
      <c r="L5" s="82" t="s">
        <v>42</v>
      </c>
      <c r="M5" s="79"/>
      <c r="N5" s="79"/>
      <c r="P5" s="79" t="s">
        <v>89</v>
      </c>
      <c r="Q5" s="79"/>
      <c r="R5" s="79"/>
      <c r="T5" s="73" t="s">
        <v>90</v>
      </c>
      <c r="U5" s="18"/>
      <c r="V5" s="73" t="s">
        <v>91</v>
      </c>
      <c r="W5" s="10"/>
      <c r="X5" s="73" t="s">
        <v>92</v>
      </c>
      <c r="Y5" s="78"/>
      <c r="Z5" s="73" t="s">
        <v>93</v>
      </c>
    </row>
    <row r="6" spans="1:33">
      <c r="A6" s="3" t="s">
        <v>94</v>
      </c>
      <c r="C6" s="77">
        <v>0.52169020782539754</v>
      </c>
      <c r="D6" s="77">
        <v>-0.22783681656696753</v>
      </c>
      <c r="E6" s="77">
        <v>-0.19003821590928335</v>
      </c>
      <c r="F6" s="77">
        <v>0.66704832433360739</v>
      </c>
      <c r="L6" s="41" t="s">
        <v>11</v>
      </c>
      <c r="M6" s="20" t="s">
        <v>12</v>
      </c>
      <c r="N6" s="20" t="s">
        <v>13</v>
      </c>
      <c r="P6" s="20" t="s">
        <v>95</v>
      </c>
      <c r="Q6" s="20" t="s">
        <v>96</v>
      </c>
      <c r="R6" s="20" t="s">
        <v>97</v>
      </c>
      <c r="T6" s="20" t="s">
        <v>55</v>
      </c>
      <c r="U6" s="20"/>
      <c r="V6" s="20" t="s">
        <v>98</v>
      </c>
      <c r="X6" s="53" t="s">
        <v>27</v>
      </c>
      <c r="Y6" s="53"/>
      <c r="Z6" s="20" t="s">
        <v>99</v>
      </c>
      <c r="AB6" t="s">
        <v>100</v>
      </c>
    </row>
    <row r="7" spans="1:33" ht="12.95" thickBot="1">
      <c r="C7" s="9"/>
      <c r="D7" s="9"/>
      <c r="E7" s="9"/>
      <c r="F7" s="9"/>
      <c r="L7" s="51">
        <v>6.6328553203456502E-3</v>
      </c>
      <c r="M7" s="43">
        <v>2.0182888934923499E-2</v>
      </c>
      <c r="N7" s="43">
        <v>-0.28247048763506272</v>
      </c>
      <c r="P7" s="43">
        <f>L7-$Q$3</f>
        <v>5.3469632041630785E-3</v>
      </c>
      <c r="Q7" s="43">
        <f t="shared" ref="Q7:R7" si="0">M7-$Q$3</f>
        <v>1.8896996818740928E-2</v>
      </c>
      <c r="R7" s="43">
        <f t="shared" si="0"/>
        <v>-0.28375637975124529</v>
      </c>
      <c r="T7" s="43">
        <f t="shared" ref="T7:T70" si="1">$L$3*L7+$M$3*M7+$N$3*N7</f>
        <v>-7.4916923371758745E-2</v>
      </c>
      <c r="U7" s="43"/>
      <c r="V7" s="43">
        <f>T7-$Q$3</f>
        <v>-7.6202815487941319E-2</v>
      </c>
      <c r="X7" s="45">
        <v>-2.5290448214403627E-2</v>
      </c>
      <c r="Y7" s="45"/>
      <c r="Z7" s="43">
        <f>X7-$Q$3</f>
        <v>-2.6576340330586198E-2</v>
      </c>
    </row>
    <row r="8" spans="1:33" ht="12.95">
      <c r="A8" s="3" t="s">
        <v>101</v>
      </c>
      <c r="C8" s="77">
        <v>1.0998043185997419</v>
      </c>
      <c r="D8" s="77">
        <v>0.77444882064163612</v>
      </c>
      <c r="E8" s="77">
        <v>0.56006804466299021</v>
      </c>
      <c r="F8" s="77">
        <v>2.1727203421525685</v>
      </c>
      <c r="L8" s="47">
        <v>0.22693804739243995</v>
      </c>
      <c r="M8" s="54">
        <v>1.3910379726893605E-2</v>
      </c>
      <c r="N8" s="54">
        <v>0.10443041470164993</v>
      </c>
      <c r="P8" s="43">
        <f t="shared" ref="P8:P71" si="2">L8-$Q$3</f>
        <v>0.22565215527625737</v>
      </c>
      <c r="Q8" s="43">
        <f t="shared" ref="Q8:Q71" si="3">M8-$Q$3</f>
        <v>1.2624487610711034E-2</v>
      </c>
      <c r="R8" s="43">
        <f t="shared" ref="R8:R71" si="4">N8-$Q$3</f>
        <v>0.10314452258546736</v>
      </c>
      <c r="T8" s="43">
        <f t="shared" si="1"/>
        <v>9.0868589028223923E-2</v>
      </c>
      <c r="U8" s="43"/>
      <c r="V8" s="43">
        <f t="shared" ref="V8:V71" si="5">T8-$Q$3</f>
        <v>8.9582696912041349E-2</v>
      </c>
      <c r="X8" s="45">
        <v>1.8903383646414307E-2</v>
      </c>
      <c r="Y8" s="45"/>
      <c r="Z8" s="43">
        <f t="shared" ref="Z8:Z71" si="6">X8-$Q$3</f>
        <v>1.7617491530231736E-2</v>
      </c>
      <c r="AB8" s="65" t="s">
        <v>102</v>
      </c>
      <c r="AC8" s="65"/>
    </row>
    <row r="9" spans="1:33">
      <c r="A9" s="3" t="s">
        <v>94</v>
      </c>
      <c r="C9" s="77">
        <v>17.130309040357474</v>
      </c>
      <c r="D9" s="77">
        <v>8.9923112644428311</v>
      </c>
      <c r="E9" s="77">
        <v>10.599986239090336</v>
      </c>
      <c r="F9" s="77">
        <v>10.310378143167608</v>
      </c>
      <c r="L9" s="47">
        <v>-5.8600581562063964E-2</v>
      </c>
      <c r="M9" s="43">
        <v>2.3780567443209565E-2</v>
      </c>
      <c r="N9" s="43">
        <v>-7.6217757338482559E-2</v>
      </c>
      <c r="P9" s="43">
        <f t="shared" si="2"/>
        <v>-5.9886473678246538E-2</v>
      </c>
      <c r="Q9" s="43">
        <f t="shared" si="3"/>
        <v>2.2494675327026994E-2</v>
      </c>
      <c r="R9" s="43">
        <f t="shared" si="4"/>
        <v>-7.7503649454665133E-2</v>
      </c>
      <c r="T9" s="43">
        <f t="shared" si="1"/>
        <v>-2.5726910420165054E-2</v>
      </c>
      <c r="U9" s="43"/>
      <c r="V9" s="43">
        <f t="shared" si="5"/>
        <v>-2.7012802536347625E-2</v>
      </c>
      <c r="X9" s="45">
        <v>-1.9117647058823573E-2</v>
      </c>
      <c r="Y9" s="45"/>
      <c r="Z9" s="43">
        <f t="shared" si="6"/>
        <v>-2.0403539175006143E-2</v>
      </c>
      <c r="AB9" s="8" t="s">
        <v>103</v>
      </c>
      <c r="AC9" s="8">
        <v>0.74307905261039953</v>
      </c>
    </row>
    <row r="10" spans="1:33">
      <c r="C10" s="9"/>
      <c r="D10" s="9"/>
      <c r="E10" s="9"/>
      <c r="F10" s="9"/>
      <c r="L10" s="47">
        <v>-4.3120801352707044E-2</v>
      </c>
      <c r="M10" s="43">
        <v>2.1887931970705671E-2</v>
      </c>
      <c r="N10" s="43">
        <v>-0.11724573192311019</v>
      </c>
      <c r="P10" s="43">
        <f t="shared" si="2"/>
        <v>-4.4406693468889619E-2</v>
      </c>
      <c r="Q10" s="43">
        <f t="shared" si="3"/>
        <v>2.0602039854523101E-2</v>
      </c>
      <c r="R10" s="43">
        <f t="shared" si="4"/>
        <v>-0.11853162403929277</v>
      </c>
      <c r="T10" s="43">
        <f t="shared" si="1"/>
        <v>-3.5476768681599116E-2</v>
      </c>
      <c r="U10" s="43"/>
      <c r="V10" s="43">
        <f t="shared" si="5"/>
        <v>-3.676266079778169E-2</v>
      </c>
      <c r="X10" s="45">
        <v>-2.010858977291019E-2</v>
      </c>
      <c r="Y10" s="45"/>
      <c r="Z10" s="43">
        <f t="shared" si="6"/>
        <v>-2.1394481889092761E-2</v>
      </c>
      <c r="AB10" s="8" t="s">
        <v>104</v>
      </c>
      <c r="AC10" s="8">
        <v>0.55216647842836886</v>
      </c>
    </row>
    <row r="11" spans="1:33">
      <c r="A11" s="3" t="s">
        <v>105</v>
      </c>
      <c r="C11" s="77">
        <v>0.55216647842836886</v>
      </c>
      <c r="D11" s="77">
        <v>0.25359480785718458</v>
      </c>
      <c r="E11" s="77">
        <v>0.32069814427025167</v>
      </c>
      <c r="F11" s="77">
        <v>0.30875020074081133</v>
      </c>
      <c r="L11" s="47">
        <v>-1.4553709172771876E-2</v>
      </c>
      <c r="M11" s="43">
        <v>-2.2293440777031021E-2</v>
      </c>
      <c r="N11" s="43">
        <v>0.15249473971191127</v>
      </c>
      <c r="P11" s="43">
        <f t="shared" si="2"/>
        <v>-1.5839601288954449E-2</v>
      </c>
      <c r="Q11" s="43">
        <f t="shared" si="3"/>
        <v>-2.3579332893213591E-2</v>
      </c>
      <c r="R11" s="43">
        <f t="shared" si="4"/>
        <v>0.1512088475957287</v>
      </c>
      <c r="T11" s="43">
        <f t="shared" si="1"/>
        <v>3.2608650721862947E-2</v>
      </c>
      <c r="U11" s="43"/>
      <c r="V11" s="43">
        <f t="shared" si="5"/>
        <v>3.1322758605680373E-2</v>
      </c>
      <c r="X11" s="45">
        <v>2.9952024895189666E-2</v>
      </c>
      <c r="Y11" s="45"/>
      <c r="Z11" s="43">
        <f t="shared" si="6"/>
        <v>2.8666132779007095E-2</v>
      </c>
      <c r="AB11" s="8" t="s">
        <v>106</v>
      </c>
      <c r="AC11" s="8">
        <v>0.5502848249763872</v>
      </c>
    </row>
    <row r="12" spans="1:33">
      <c r="L12" s="51">
        <v>2.2597872607168386E-2</v>
      </c>
      <c r="M12" s="43">
        <v>-3.1296550251502825E-2</v>
      </c>
      <c r="N12" s="43">
        <v>5.7317107068436485E-2</v>
      </c>
      <c r="P12" s="43">
        <f t="shared" si="2"/>
        <v>2.1311980490985816E-2</v>
      </c>
      <c r="Q12" s="43">
        <f t="shared" si="3"/>
        <v>-3.2582442367685399E-2</v>
      </c>
      <c r="R12" s="43">
        <f t="shared" si="4"/>
        <v>5.603121495225391E-2</v>
      </c>
      <c r="T12" s="43">
        <f t="shared" si="1"/>
        <v>8.1385763683737029E-3</v>
      </c>
      <c r="U12" s="43"/>
      <c r="V12" s="43">
        <f t="shared" si="5"/>
        <v>6.8526842521911312E-3</v>
      </c>
      <c r="X12" s="45">
        <v>-1.4267729752415192E-4</v>
      </c>
      <c r="Y12" s="45"/>
      <c r="Z12" s="43">
        <f t="shared" si="6"/>
        <v>-1.4285694137067234E-3</v>
      </c>
      <c r="AB12" s="8" t="s">
        <v>107</v>
      </c>
      <c r="AC12" s="8">
        <v>4.2984195285477159E-2</v>
      </c>
    </row>
    <row r="13" spans="1:33" ht="12.95" thickBot="1">
      <c r="L13" s="47">
        <v>2.2272468280995359E-2</v>
      </c>
      <c r="M13" s="43">
        <v>-1.6000014085036058E-2</v>
      </c>
      <c r="N13" s="43">
        <v>0.15801613304537576</v>
      </c>
      <c r="P13" s="43">
        <f t="shared" si="2"/>
        <v>2.0986576164812788E-2</v>
      </c>
      <c r="Q13" s="43">
        <f t="shared" si="3"/>
        <v>-1.7285906201218629E-2</v>
      </c>
      <c r="R13" s="43">
        <f t="shared" si="4"/>
        <v>0.15673024092919319</v>
      </c>
      <c r="T13" s="43">
        <f t="shared" si="1"/>
        <v>4.5755900941557473E-2</v>
      </c>
      <c r="U13" s="43"/>
      <c r="V13" s="43">
        <f t="shared" si="5"/>
        <v>4.4470008825374899E-2</v>
      </c>
      <c r="X13" s="45">
        <v>3.5968203604375137E-2</v>
      </c>
      <c r="Y13" s="45"/>
      <c r="Z13" s="43">
        <f t="shared" si="6"/>
        <v>3.4682311488192563E-2</v>
      </c>
      <c r="AB13" s="63" t="s">
        <v>108</v>
      </c>
      <c r="AC13" s="63">
        <v>240</v>
      </c>
    </row>
    <row r="14" spans="1:33">
      <c r="L14" s="47">
        <v>1.9574494057513298E-2</v>
      </c>
      <c r="M14" s="43">
        <v>-8.911815243640233E-3</v>
      </c>
      <c r="N14" s="43">
        <v>3.4362576527852275E-2</v>
      </c>
      <c r="P14" s="43">
        <f t="shared" si="2"/>
        <v>1.8288601941330727E-2</v>
      </c>
      <c r="Q14" s="43">
        <f t="shared" si="3"/>
        <v>-1.0197707359822804E-2</v>
      </c>
      <c r="R14" s="43">
        <f t="shared" si="4"/>
        <v>3.30766844116697E-2</v>
      </c>
      <c r="T14" s="43">
        <f t="shared" si="1"/>
        <v>1.0849378639870098E-2</v>
      </c>
      <c r="U14" s="43"/>
      <c r="V14" s="43">
        <f t="shared" si="5"/>
        <v>9.5634865236875269E-3</v>
      </c>
      <c r="X14" s="43">
        <v>-1.1222025960556881E-2</v>
      </c>
      <c r="Y14" s="43"/>
      <c r="Z14" s="43">
        <f t="shared" si="6"/>
        <v>-1.2507918076739451E-2</v>
      </c>
    </row>
    <row r="15" spans="1:33" ht="12.95" thickBot="1">
      <c r="L15" s="47">
        <v>6.0767934840132348E-2</v>
      </c>
      <c r="M15" s="43">
        <v>-1.7352991230589214E-3</v>
      </c>
      <c r="N15" s="43">
        <v>0.21328840671834845</v>
      </c>
      <c r="P15" s="43">
        <f t="shared" si="2"/>
        <v>5.9482042723949774E-2</v>
      </c>
      <c r="Q15" s="43">
        <f t="shared" si="3"/>
        <v>-3.0211912392414928E-3</v>
      </c>
      <c r="R15" s="43">
        <f t="shared" si="4"/>
        <v>0.21200251460216588</v>
      </c>
      <c r="T15" s="43">
        <f t="shared" si="1"/>
        <v>7.8105129184516328E-2</v>
      </c>
      <c r="U15" s="43"/>
      <c r="V15" s="43">
        <f t="shared" si="5"/>
        <v>7.6819237068333754E-2</v>
      </c>
      <c r="X15" s="43">
        <v>6.9489400408087043E-3</v>
      </c>
      <c r="Y15" s="43"/>
      <c r="Z15" s="43">
        <f t="shared" si="6"/>
        <v>5.6630479246261326E-3</v>
      </c>
      <c r="AB15" t="s">
        <v>109</v>
      </c>
    </row>
    <row r="16" spans="1:33" ht="12.95">
      <c r="L16" s="47">
        <v>-0.11646209347268925</v>
      </c>
      <c r="M16" s="43">
        <v>-1.0429833440958275E-2</v>
      </c>
      <c r="N16" s="43">
        <v>-7.857148371586016E-2</v>
      </c>
      <c r="P16" s="43">
        <f t="shared" si="2"/>
        <v>-0.11774798558887183</v>
      </c>
      <c r="Q16" s="43">
        <f t="shared" si="3"/>
        <v>-1.1715725557140845E-2</v>
      </c>
      <c r="R16" s="43">
        <f t="shared" si="4"/>
        <v>-7.9857375832042735E-2</v>
      </c>
      <c r="T16" s="43">
        <f t="shared" si="1"/>
        <v>-5.5749181027814135E-2</v>
      </c>
      <c r="U16" s="43"/>
      <c r="V16" s="43">
        <f t="shared" si="5"/>
        <v>-5.7035073143996709E-2</v>
      </c>
      <c r="X16" s="43">
        <v>-1.7740741042146513E-2</v>
      </c>
      <c r="Y16" s="43"/>
      <c r="Z16" s="43">
        <f t="shared" si="6"/>
        <v>-1.9026633158329084E-2</v>
      </c>
      <c r="AB16" s="64"/>
      <c r="AC16" s="64" t="s">
        <v>110</v>
      </c>
      <c r="AD16" s="64" t="s">
        <v>111</v>
      </c>
      <c r="AE16" s="64" t="s">
        <v>112</v>
      </c>
      <c r="AF16" s="64" t="s">
        <v>113</v>
      </c>
      <c r="AG16" s="64" t="s">
        <v>114</v>
      </c>
    </row>
    <row r="17" spans="12:36">
      <c r="L17" s="47">
        <v>3.3665824905529503E-2</v>
      </c>
      <c r="M17" s="43">
        <v>-1.3893307996237936E-2</v>
      </c>
      <c r="N17" s="43">
        <v>0.12747636000656154</v>
      </c>
      <c r="P17" s="43">
        <f t="shared" si="2"/>
        <v>3.2379932789346928E-2</v>
      </c>
      <c r="Q17" s="43">
        <f t="shared" si="3"/>
        <v>-1.5179200112420507E-2</v>
      </c>
      <c r="R17" s="43">
        <f t="shared" si="4"/>
        <v>0.12619046789037897</v>
      </c>
      <c r="T17" s="43">
        <f t="shared" si="1"/>
        <v>4.009970519522054E-2</v>
      </c>
      <c r="U17" s="43"/>
      <c r="V17" s="43">
        <f t="shared" si="5"/>
        <v>3.8813813079037966E-2</v>
      </c>
      <c r="X17" s="43">
        <v>3.518612107604735E-2</v>
      </c>
      <c r="Y17" s="43"/>
      <c r="Z17" s="43">
        <f t="shared" si="6"/>
        <v>3.3900228959864775E-2</v>
      </c>
      <c r="AB17" s="8" t="s">
        <v>115</v>
      </c>
      <c r="AC17" s="8">
        <v>1</v>
      </c>
      <c r="AD17" s="8">
        <v>0.54218562285129246</v>
      </c>
      <c r="AE17" s="8">
        <v>0.54218562285129246</v>
      </c>
      <c r="AF17" s="8">
        <v>293.44748781815304</v>
      </c>
      <c r="AG17" s="8">
        <v>2.106590137150191E-43</v>
      </c>
    </row>
    <row r="18" spans="12:36">
      <c r="L18" s="47">
        <v>-3.2052397888644231E-2</v>
      </c>
      <c r="M18" s="43">
        <v>-2.6720672483868928E-2</v>
      </c>
      <c r="N18" s="43">
        <v>0.16883116977734</v>
      </c>
      <c r="P18" s="43">
        <f t="shared" si="2"/>
        <v>-3.3338290004826805E-2</v>
      </c>
      <c r="Q18" s="43">
        <f t="shared" si="3"/>
        <v>-2.8006564600051499E-2</v>
      </c>
      <c r="R18" s="43">
        <f t="shared" si="4"/>
        <v>0.16754527766115743</v>
      </c>
      <c r="T18" s="43">
        <f t="shared" si="1"/>
        <v>3.1455338702950017E-2</v>
      </c>
      <c r="U18" s="43"/>
      <c r="V18" s="43">
        <f t="shared" si="5"/>
        <v>3.0169446586767446E-2</v>
      </c>
      <c r="X18" s="43">
        <v>-9.5239619681797283E-4</v>
      </c>
      <c r="Y18" s="43"/>
      <c r="Z18" s="43">
        <f t="shared" si="6"/>
        <v>-2.2382883130005445E-3</v>
      </c>
      <c r="AB18" s="8" t="s">
        <v>116</v>
      </c>
      <c r="AC18" s="8">
        <v>238</v>
      </c>
      <c r="AD18" s="8">
        <v>0.43973856855292875</v>
      </c>
      <c r="AE18" s="8">
        <v>1.8476410443400368E-3</v>
      </c>
      <c r="AF18" s="8"/>
      <c r="AG18" s="8"/>
    </row>
    <row r="19" spans="12:36" ht="12.95" thickBot="1">
      <c r="L19" s="47">
        <v>0.1171444195398349</v>
      </c>
      <c r="M19" s="43">
        <v>-4.2595634335932275E-2</v>
      </c>
      <c r="N19" s="43">
        <v>0.36601302993359247</v>
      </c>
      <c r="P19" s="43">
        <f t="shared" si="2"/>
        <v>0.11585852742365232</v>
      </c>
      <c r="Q19" s="43">
        <f t="shared" si="3"/>
        <v>-4.388152645211485E-2</v>
      </c>
      <c r="R19" s="43">
        <f t="shared" si="4"/>
        <v>0.3647271378174099</v>
      </c>
      <c r="T19" s="43">
        <f t="shared" si="1"/>
        <v>0.11863520566059793</v>
      </c>
      <c r="U19" s="43"/>
      <c r="V19" s="43">
        <f t="shared" si="5"/>
        <v>0.11734931354441536</v>
      </c>
      <c r="X19" s="43">
        <v>2.5466838635253009E-2</v>
      </c>
      <c r="Y19" s="43"/>
      <c r="Z19" s="43">
        <f t="shared" si="6"/>
        <v>2.4180946519070438E-2</v>
      </c>
      <c r="AB19" s="63" t="s">
        <v>50</v>
      </c>
      <c r="AC19" s="63">
        <v>239</v>
      </c>
      <c r="AD19" s="63">
        <v>0.98192419140422116</v>
      </c>
      <c r="AE19" s="63"/>
      <c r="AF19" s="63"/>
      <c r="AG19" s="63"/>
    </row>
    <row r="20" spans="12:36" ht="12.95" thickBot="1">
      <c r="L20" s="47">
        <v>-5.3864558854426044E-2</v>
      </c>
      <c r="M20" s="43">
        <v>1.9117241675586853E-3</v>
      </c>
      <c r="N20" s="43">
        <v>-7.4880409694843372E-2</v>
      </c>
      <c r="P20" s="43">
        <f t="shared" si="2"/>
        <v>-5.5150450970608618E-2</v>
      </c>
      <c r="Q20" s="43">
        <f t="shared" si="3"/>
        <v>6.2583205137611386E-4</v>
      </c>
      <c r="R20" s="43">
        <f t="shared" si="4"/>
        <v>-7.6166301811025947E-2</v>
      </c>
      <c r="T20" s="43">
        <f t="shared" si="1"/>
        <v>-3.4368598556322551E-2</v>
      </c>
      <c r="U20" s="43"/>
      <c r="V20" s="43">
        <f t="shared" si="5"/>
        <v>-3.5654490672505125E-2</v>
      </c>
      <c r="X20" s="43">
        <v>4.5309668145754323E-4</v>
      </c>
      <c r="Y20" s="43"/>
      <c r="Z20" s="43">
        <f t="shared" si="6"/>
        <v>-8.3279543472502822E-4</v>
      </c>
    </row>
    <row r="21" spans="12:36" ht="12.95">
      <c r="L21" s="47">
        <v>2.509687898388337E-2</v>
      </c>
      <c r="M21" s="43">
        <v>2.7233298408837869E-2</v>
      </c>
      <c r="N21" s="43">
        <v>-0.14248767991817785</v>
      </c>
      <c r="P21" s="43">
        <f t="shared" si="2"/>
        <v>2.3810986867700799E-2</v>
      </c>
      <c r="Q21" s="43">
        <f t="shared" si="3"/>
        <v>2.5947406292655299E-2</v>
      </c>
      <c r="R21" s="43">
        <f t="shared" si="4"/>
        <v>-0.14377357203436042</v>
      </c>
      <c r="T21" s="43">
        <f t="shared" si="1"/>
        <v>-2.4828396037367466E-2</v>
      </c>
      <c r="U21" s="43"/>
      <c r="V21" s="43">
        <f t="shared" si="5"/>
        <v>-2.6114288153550037E-2</v>
      </c>
      <c r="X21" s="43">
        <v>1.1064607311854768E-2</v>
      </c>
      <c r="Y21" s="43"/>
      <c r="Z21" s="43">
        <f t="shared" si="6"/>
        <v>9.7787151956721975E-3</v>
      </c>
      <c r="AB21" s="64"/>
      <c r="AC21" s="64" t="s">
        <v>117</v>
      </c>
      <c r="AD21" s="64" t="s">
        <v>107</v>
      </c>
      <c r="AE21" s="64" t="s">
        <v>118</v>
      </c>
      <c r="AF21" s="64" t="s">
        <v>119</v>
      </c>
      <c r="AG21" s="64" t="s">
        <v>120</v>
      </c>
      <c r="AH21" s="64" t="s">
        <v>121</v>
      </c>
      <c r="AI21" s="64" t="s">
        <v>122</v>
      </c>
      <c r="AJ21" s="64" t="s">
        <v>123</v>
      </c>
    </row>
    <row r="22" spans="12:36">
      <c r="L22" s="47">
        <v>3.6477180388419669E-2</v>
      </c>
      <c r="M22" s="43">
        <v>-1.0300584224545882E-2</v>
      </c>
      <c r="N22" s="43">
        <v>-2.4427062033120915E-2</v>
      </c>
      <c r="P22" s="43">
        <f t="shared" si="2"/>
        <v>3.5191288272237095E-2</v>
      </c>
      <c r="Q22" s="43">
        <f t="shared" si="3"/>
        <v>-1.1586476340728452E-2</v>
      </c>
      <c r="R22" s="43">
        <f t="shared" si="4"/>
        <v>-2.5712954149303486E-2</v>
      </c>
      <c r="T22" s="43">
        <f t="shared" si="1"/>
        <v>-3.73280172628211E-3</v>
      </c>
      <c r="U22" s="43"/>
      <c r="V22" s="43">
        <f t="shared" si="5"/>
        <v>-5.0186938424646816E-3</v>
      </c>
      <c r="X22" s="43">
        <v>1.2186928013716125E-2</v>
      </c>
      <c r="Y22" s="43"/>
      <c r="Z22" s="43">
        <f t="shared" si="6"/>
        <v>1.0901035897533554E-2</v>
      </c>
      <c r="AB22" s="8" t="s">
        <v>124</v>
      </c>
      <c r="AC22" s="8">
        <v>1.3342774352856669E-3</v>
      </c>
      <c r="AD22" s="8">
        <v>2.8166352781215853E-3</v>
      </c>
      <c r="AE22" s="8">
        <v>0.47371324418527372</v>
      </c>
      <c r="AF22" s="8">
        <v>0.63613865560888205</v>
      </c>
      <c r="AG22" s="8">
        <v>-4.2144420380362735E-3</v>
      </c>
      <c r="AH22" s="8">
        <v>6.8829969086076073E-3</v>
      </c>
      <c r="AI22" s="8">
        <v>-4.2144420380362735E-3</v>
      </c>
      <c r="AJ22" s="8">
        <v>6.8829969086076073E-3</v>
      </c>
    </row>
    <row r="23" spans="12:36" ht="12.95" thickBot="1">
      <c r="L23" s="47">
        <v>-3.4400791386379956E-2</v>
      </c>
      <c r="M23" s="43">
        <v>2.7469725193403391E-2</v>
      </c>
      <c r="N23" s="43">
        <v>-4.5131349407654724E-2</v>
      </c>
      <c r="P23" s="43">
        <f t="shared" si="2"/>
        <v>-3.568668350256253E-2</v>
      </c>
      <c r="Q23" s="43">
        <f t="shared" si="3"/>
        <v>2.618383307722082E-2</v>
      </c>
      <c r="R23" s="43">
        <f t="shared" si="4"/>
        <v>-4.6417241523837298E-2</v>
      </c>
      <c r="T23" s="43">
        <f t="shared" si="1"/>
        <v>-8.952061320905369E-3</v>
      </c>
      <c r="U23" s="43"/>
      <c r="V23" s="43">
        <f t="shared" si="5"/>
        <v>-1.023795343708794E-2</v>
      </c>
      <c r="X23" s="43">
        <v>-3.091690129023883E-2</v>
      </c>
      <c r="Y23" s="43"/>
      <c r="Z23" s="43">
        <f t="shared" si="6"/>
        <v>-3.2202793406421404E-2</v>
      </c>
      <c r="AB23" s="63" t="s">
        <v>125</v>
      </c>
      <c r="AC23" s="63">
        <v>1.0998043185997424</v>
      </c>
      <c r="AD23" s="63">
        <v>6.4202246206341129E-2</v>
      </c>
      <c r="AE23" s="63">
        <v>17.130309040357481</v>
      </c>
      <c r="AF23" s="63">
        <v>2.1065901371500708E-43</v>
      </c>
      <c r="AG23" s="63">
        <v>0.97332707941891683</v>
      </c>
      <c r="AH23" s="63">
        <v>1.2262815577805679</v>
      </c>
      <c r="AI23" s="63">
        <v>0.97332707941891683</v>
      </c>
      <c r="AJ23" s="63">
        <v>1.2262815577805679</v>
      </c>
    </row>
    <row r="24" spans="12:36">
      <c r="L24" s="47">
        <v>7.2237502513748351E-3</v>
      </c>
      <c r="M24" s="43">
        <v>-4.9817842191387067E-3</v>
      </c>
      <c r="N24" s="43">
        <v>-0.20945287928761361</v>
      </c>
      <c r="P24" s="43">
        <f t="shared" si="2"/>
        <v>5.9378581351922635E-3</v>
      </c>
      <c r="Q24" s="43">
        <f t="shared" si="3"/>
        <v>-6.2676763353212784E-3</v>
      </c>
      <c r="R24" s="43">
        <f t="shared" si="4"/>
        <v>-0.21073877140379618</v>
      </c>
      <c r="T24" s="43">
        <f t="shared" si="1"/>
        <v>-6.4271897728111871E-2</v>
      </c>
      <c r="U24" s="43"/>
      <c r="V24" s="43">
        <f t="shared" si="5"/>
        <v>-6.5557789844294445E-2</v>
      </c>
      <c r="X24" s="43">
        <v>8.6608035651192239E-5</v>
      </c>
      <c r="Y24" s="43"/>
      <c r="Z24" s="43">
        <f t="shared" si="6"/>
        <v>-1.1992840805313792E-3</v>
      </c>
    </row>
    <row r="25" spans="12:36">
      <c r="L25" s="47">
        <v>0.1041564718594719</v>
      </c>
      <c r="M25" s="43">
        <v>4.3891874974693885E-2</v>
      </c>
      <c r="N25" s="43">
        <v>-0.20597873345334061</v>
      </c>
      <c r="P25" s="43">
        <f t="shared" si="2"/>
        <v>0.10287057974328932</v>
      </c>
      <c r="Q25" s="43">
        <f t="shared" si="3"/>
        <v>4.2605982858511311E-2</v>
      </c>
      <c r="R25" s="43">
        <f t="shared" si="4"/>
        <v>-0.20726462556952319</v>
      </c>
      <c r="T25" s="43">
        <f t="shared" si="1"/>
        <v>-1.8034567060273225E-2</v>
      </c>
      <c r="U25" s="43"/>
      <c r="V25" s="43">
        <f t="shared" si="5"/>
        <v>-1.9320459176455796E-2</v>
      </c>
      <c r="X25" s="43">
        <v>5.0858132577547011E-3</v>
      </c>
      <c r="Y25" s="43"/>
      <c r="Z25" s="43">
        <f t="shared" si="6"/>
        <v>3.7999211415721294E-3</v>
      </c>
    </row>
    <row r="26" spans="12:36">
      <c r="L26" s="47">
        <v>-1.0333583854695958E-3</v>
      </c>
      <c r="M26" s="43">
        <v>3.3733084744766259E-2</v>
      </c>
      <c r="N26" s="43">
        <v>0.28880869302447465</v>
      </c>
      <c r="P26" s="43">
        <f t="shared" si="2"/>
        <v>-2.319250501652167E-3</v>
      </c>
      <c r="Q26" s="43">
        <f t="shared" si="3"/>
        <v>3.2447192628583685E-2</v>
      </c>
      <c r="R26" s="43">
        <f t="shared" si="4"/>
        <v>0.28752280090829208</v>
      </c>
      <c r="T26" s="43">
        <f t="shared" si="1"/>
        <v>0.10316051440920687</v>
      </c>
      <c r="U26" s="43"/>
      <c r="V26" s="43">
        <f t="shared" si="5"/>
        <v>0.1018746222930243</v>
      </c>
      <c r="X26" s="43">
        <v>2.1274262528785837E-2</v>
      </c>
      <c r="Y26" s="43"/>
      <c r="Z26" s="43">
        <f t="shared" si="6"/>
        <v>1.9988370412603266E-2</v>
      </c>
    </row>
    <row r="27" spans="12:36">
      <c r="L27" s="47">
        <v>-8.4232261008956172E-3</v>
      </c>
      <c r="M27" s="43">
        <v>4.3303242103116934E-3</v>
      </c>
      <c r="N27" s="43">
        <v>-5.6022165238368586E-3</v>
      </c>
      <c r="P27" s="43">
        <f t="shared" si="2"/>
        <v>-9.709118217078188E-3</v>
      </c>
      <c r="Q27" s="43">
        <f t="shared" si="3"/>
        <v>3.0444320941291217E-3</v>
      </c>
      <c r="R27" s="43">
        <f t="shared" si="4"/>
        <v>-6.8881086400194302E-3</v>
      </c>
      <c r="T27" s="43">
        <f t="shared" si="1"/>
        <v>-1.6482678878497112E-3</v>
      </c>
      <c r="U27" s="43"/>
      <c r="V27" s="43">
        <f t="shared" si="5"/>
        <v>-2.9341600040322826E-3</v>
      </c>
      <c r="X27" s="43">
        <v>2.4566274485741779E-2</v>
      </c>
      <c r="Y27" s="43"/>
      <c r="Z27" s="43">
        <f t="shared" si="6"/>
        <v>2.3280382369559208E-2</v>
      </c>
    </row>
    <row r="28" spans="12:36">
      <c r="L28" s="47">
        <v>6.4381517035210389E-2</v>
      </c>
      <c r="M28" s="43">
        <v>3.7881105512619161E-2</v>
      </c>
      <c r="N28" s="43">
        <v>-0.14406438103621144</v>
      </c>
      <c r="P28" s="43">
        <f t="shared" si="2"/>
        <v>6.3095624919027815E-2</v>
      </c>
      <c r="Q28" s="43">
        <f t="shared" si="3"/>
        <v>3.6595213396436586E-2</v>
      </c>
      <c r="R28" s="43">
        <f t="shared" si="4"/>
        <v>-0.14535027315239402</v>
      </c>
      <c r="T28" s="43">
        <f t="shared" si="1"/>
        <v>-1.1246480151935329E-2</v>
      </c>
      <c r="U28" s="43"/>
      <c r="V28" s="43">
        <f t="shared" si="5"/>
        <v>-1.2532372268117899E-2</v>
      </c>
      <c r="X28" s="43">
        <v>3.1508028596025195E-2</v>
      </c>
      <c r="Y28" s="43"/>
      <c r="Z28" s="43">
        <f t="shared" si="6"/>
        <v>3.0222136479842624E-2</v>
      </c>
    </row>
    <row r="29" spans="12:36">
      <c r="L29" s="47">
        <v>7.5469049675670599E-2</v>
      </c>
      <c r="M29" s="43">
        <v>-2.2106792730522885E-2</v>
      </c>
      <c r="N29" s="43">
        <v>1.4104336182609034E-2</v>
      </c>
      <c r="P29" s="43">
        <f t="shared" si="2"/>
        <v>7.4183157559488025E-2</v>
      </c>
      <c r="Q29" s="43">
        <f t="shared" si="3"/>
        <v>-2.3392684846705456E-2</v>
      </c>
      <c r="R29" s="43">
        <f t="shared" si="4"/>
        <v>1.2818444066426463E-2</v>
      </c>
      <c r="T29" s="43">
        <f t="shared" si="1"/>
        <v>1.1548004836689994E-2</v>
      </c>
      <c r="U29" s="43"/>
      <c r="V29" s="43">
        <f t="shared" si="5"/>
        <v>1.0262112720507423E-2</v>
      </c>
      <c r="X29" s="43">
        <v>1.6466609576614388E-2</v>
      </c>
      <c r="Y29" s="43"/>
      <c r="Z29" s="43">
        <f t="shared" si="6"/>
        <v>1.5180717460431817E-2</v>
      </c>
    </row>
    <row r="30" spans="12:36">
      <c r="L30" s="47">
        <v>-2.3434489115621935E-3</v>
      </c>
      <c r="M30" s="43">
        <v>1.668835910265083E-3</v>
      </c>
      <c r="N30" s="43">
        <v>-5.656000605541197E-2</v>
      </c>
      <c r="P30" s="43">
        <f t="shared" si="2"/>
        <v>-3.6293410277447652E-3</v>
      </c>
      <c r="Q30" s="43">
        <f t="shared" si="3"/>
        <v>3.8294379408251151E-4</v>
      </c>
      <c r="R30" s="43">
        <f t="shared" si="4"/>
        <v>-5.7845898171594544E-2</v>
      </c>
      <c r="T30" s="43">
        <f t="shared" si="1"/>
        <v>-1.6954101661254019E-2</v>
      </c>
      <c r="U30" s="43"/>
      <c r="V30" s="43">
        <f t="shared" si="5"/>
        <v>-1.823999377743659E-2</v>
      </c>
      <c r="X30" s="43">
        <v>1.2615751483260995E-2</v>
      </c>
      <c r="Y30" s="43"/>
      <c r="Z30" s="43">
        <f t="shared" si="6"/>
        <v>1.1329859367078424E-2</v>
      </c>
    </row>
    <row r="31" spans="12:36">
      <c r="L31" s="47">
        <v>-3.3015775414033804E-2</v>
      </c>
      <c r="M31" s="43">
        <v>1.1814699308581752E-2</v>
      </c>
      <c r="N31" s="43">
        <v>-0.23587224082342723</v>
      </c>
      <c r="P31" s="43">
        <f t="shared" si="2"/>
        <v>-3.4301667530216379E-2</v>
      </c>
      <c r="Q31" s="43">
        <f t="shared" si="3"/>
        <v>1.0528807192399181E-2</v>
      </c>
      <c r="R31" s="43">
        <f t="shared" si="4"/>
        <v>-0.2371581329396098</v>
      </c>
      <c r="T31" s="43">
        <f t="shared" si="1"/>
        <v>-7.384682880747917E-2</v>
      </c>
      <c r="U31" s="43"/>
      <c r="V31" s="43">
        <f t="shared" si="5"/>
        <v>-7.5132720923661744E-2</v>
      </c>
      <c r="X31" s="43">
        <v>1.4059084819854739E-2</v>
      </c>
      <c r="Y31" s="43"/>
      <c r="Z31" s="43">
        <f t="shared" si="6"/>
        <v>1.2773192703672168E-2</v>
      </c>
    </row>
    <row r="32" spans="12:36">
      <c r="L32" s="47">
        <v>-3.2658545462595119E-2</v>
      </c>
      <c r="M32" s="43">
        <v>-5.7934170206302017E-2</v>
      </c>
      <c r="N32" s="43">
        <v>-3.0868198715305651E-2</v>
      </c>
      <c r="P32" s="43">
        <f t="shared" si="2"/>
        <v>-3.3944437578777693E-2</v>
      </c>
      <c r="Q32" s="43">
        <f t="shared" si="3"/>
        <v>-5.9220062322484592E-2</v>
      </c>
      <c r="R32" s="43">
        <f t="shared" si="4"/>
        <v>-3.2154090831488222E-2</v>
      </c>
      <c r="T32" s="43">
        <f t="shared" si="1"/>
        <v>-4.3842904394064582E-2</v>
      </c>
      <c r="U32" s="43"/>
      <c r="V32" s="43">
        <f t="shared" si="5"/>
        <v>-4.5128796510247156E-2</v>
      </c>
      <c r="X32" s="43">
        <v>-2.1846145288686225E-2</v>
      </c>
      <c r="Y32" s="43"/>
      <c r="Z32" s="43">
        <f t="shared" si="6"/>
        <v>-2.3132037404868796E-2</v>
      </c>
    </row>
    <row r="33" spans="12:26">
      <c r="L33" s="47">
        <v>5.2594819015286572E-2</v>
      </c>
      <c r="M33" s="43">
        <v>-4.2428126024067085E-2</v>
      </c>
      <c r="N33" s="43">
        <v>-0.1333775259396888</v>
      </c>
      <c r="P33" s="43">
        <f t="shared" si="2"/>
        <v>5.1308926899103997E-2</v>
      </c>
      <c r="Q33" s="43">
        <f t="shared" si="3"/>
        <v>-4.3714018140249659E-2</v>
      </c>
      <c r="R33" s="43">
        <f t="shared" si="4"/>
        <v>-0.13466341805587137</v>
      </c>
      <c r="T33" s="43">
        <f t="shared" si="1"/>
        <v>-4.8000723923547914E-2</v>
      </c>
      <c r="U33" s="43"/>
      <c r="V33" s="43">
        <f t="shared" si="5"/>
        <v>-4.9286616039730488E-2</v>
      </c>
      <c r="X33" s="43">
        <v>9.9799547916576969E-3</v>
      </c>
      <c r="Y33" s="43"/>
      <c r="Z33" s="43">
        <f t="shared" si="6"/>
        <v>8.6940626754751262E-3</v>
      </c>
    </row>
    <row r="34" spans="12:26">
      <c r="L34" s="47">
        <v>5.208748130065155E-2</v>
      </c>
      <c r="M34" s="43">
        <v>6.5715283927494927E-2</v>
      </c>
      <c r="N34" s="43">
        <v>5.8192898222726469E-2</v>
      </c>
      <c r="P34" s="43">
        <f t="shared" si="2"/>
        <v>5.0801589184468976E-2</v>
      </c>
      <c r="Q34" s="43">
        <f t="shared" si="3"/>
        <v>6.4429391811312353E-2</v>
      </c>
      <c r="R34" s="43">
        <f t="shared" si="4"/>
        <v>5.6907006106543895E-2</v>
      </c>
      <c r="T34" s="43">
        <f t="shared" si="1"/>
        <v>6.0265996826099233E-2</v>
      </c>
      <c r="U34" s="43"/>
      <c r="V34" s="43">
        <f t="shared" si="5"/>
        <v>5.8980104709916659E-2</v>
      </c>
      <c r="X34" s="43">
        <v>4.3290683107413797E-2</v>
      </c>
      <c r="Y34" s="43"/>
      <c r="Z34" s="43">
        <f t="shared" si="6"/>
        <v>4.2004790991231222E-2</v>
      </c>
    </row>
    <row r="35" spans="12:26">
      <c r="L35" s="47">
        <v>4.7745037120975116E-2</v>
      </c>
      <c r="M35" s="43">
        <v>-1.4792911007189356E-2</v>
      </c>
      <c r="N35" s="43">
        <v>3.2561560989613089E-2</v>
      </c>
      <c r="P35" s="43">
        <f t="shared" si="2"/>
        <v>4.6459145004792542E-2</v>
      </c>
      <c r="Q35" s="43">
        <f t="shared" si="3"/>
        <v>-1.6078803123371926E-2</v>
      </c>
      <c r="R35" s="43">
        <f t="shared" si="4"/>
        <v>3.1275668873430515E-2</v>
      </c>
      <c r="T35" s="43">
        <f t="shared" si="1"/>
        <v>1.4113240510363081E-2</v>
      </c>
      <c r="U35" s="43"/>
      <c r="V35" s="43">
        <f t="shared" si="5"/>
        <v>1.282734839418051E-2</v>
      </c>
      <c r="X35" s="43">
        <v>3.2549228600146973E-2</v>
      </c>
      <c r="Y35" s="43"/>
      <c r="Z35" s="43">
        <f t="shared" si="6"/>
        <v>3.1263336483964399E-2</v>
      </c>
    </row>
    <row r="36" spans="12:26">
      <c r="L36" s="47">
        <v>8.5367211747488219E-3</v>
      </c>
      <c r="M36" s="43">
        <v>-2.6078734217496589E-2</v>
      </c>
      <c r="N36" s="43">
        <v>2.1022937637587731E-3</v>
      </c>
      <c r="P36" s="43">
        <f t="shared" si="2"/>
        <v>7.2508290585662502E-3</v>
      </c>
      <c r="Q36" s="43">
        <f t="shared" si="3"/>
        <v>-2.736462633367916E-2</v>
      </c>
      <c r="R36" s="43">
        <f t="shared" si="4"/>
        <v>8.1640164757620167E-4</v>
      </c>
      <c r="T36" s="43">
        <f t="shared" si="1"/>
        <v>-9.4803790497648682E-3</v>
      </c>
      <c r="U36" s="43"/>
      <c r="V36" s="43">
        <f t="shared" si="5"/>
        <v>-1.0766271165947439E-2</v>
      </c>
      <c r="X36" s="43">
        <v>-1.7816309730697366E-2</v>
      </c>
      <c r="Y36" s="43"/>
      <c r="Z36" s="43">
        <f t="shared" si="6"/>
        <v>-1.9102201846879937E-2</v>
      </c>
    </row>
    <row r="37" spans="12:26">
      <c r="L37" s="47">
        <v>1.4902241785052808E-2</v>
      </c>
      <c r="M37" s="43">
        <v>-1.8175899891248317E-2</v>
      </c>
      <c r="N37" s="43">
        <v>-5.3146868443697572E-2</v>
      </c>
      <c r="P37" s="43">
        <f t="shared" si="2"/>
        <v>1.3616349668870237E-2</v>
      </c>
      <c r="Q37" s="43">
        <f t="shared" si="3"/>
        <v>-1.9461792007430888E-2</v>
      </c>
      <c r="R37" s="43">
        <f t="shared" si="4"/>
        <v>-5.4432760559880146E-2</v>
      </c>
      <c r="T37" s="43">
        <f t="shared" si="1"/>
        <v>-2.1121684985656263E-2</v>
      </c>
      <c r="U37" s="43"/>
      <c r="V37" s="43">
        <f t="shared" si="5"/>
        <v>-2.2407577101838834E-2</v>
      </c>
      <c r="X37" s="43">
        <v>-3.1981907074200899E-2</v>
      </c>
      <c r="Y37" s="43"/>
      <c r="Z37" s="43">
        <f t="shared" si="6"/>
        <v>-3.3267799190383474E-2</v>
      </c>
    </row>
    <row r="38" spans="12:26">
      <c r="L38" s="47">
        <v>7.0481160915523786E-3</v>
      </c>
      <c r="M38" s="43">
        <v>2.1322329182270144E-2</v>
      </c>
      <c r="N38" s="43">
        <v>-3.9881828905051576E-2</v>
      </c>
      <c r="P38" s="43">
        <f t="shared" si="2"/>
        <v>5.762223975369807E-3</v>
      </c>
      <c r="Q38" s="43">
        <f t="shared" si="3"/>
        <v>2.0036437066087574E-2</v>
      </c>
      <c r="R38" s="43">
        <f t="shared" si="4"/>
        <v>-4.1167721021234151E-2</v>
      </c>
      <c r="T38" s="43">
        <f t="shared" si="1"/>
        <v>-5.8696498022224944E-4</v>
      </c>
      <c r="U38" s="43"/>
      <c r="V38" s="43">
        <f t="shared" si="5"/>
        <v>-1.8728570964048209E-3</v>
      </c>
      <c r="X38" s="43">
        <v>1.2863592323073991E-2</v>
      </c>
      <c r="Y38" s="43"/>
      <c r="Z38" s="43">
        <f t="shared" si="6"/>
        <v>1.157770020689142E-2</v>
      </c>
    </row>
    <row r="39" spans="12:26">
      <c r="L39" s="47">
        <v>7.9668656645488931E-2</v>
      </c>
      <c r="M39" s="43">
        <v>6.3278782566457165E-2</v>
      </c>
      <c r="N39" s="43">
        <v>1.5384600712702824E-2</v>
      </c>
      <c r="P39" s="43">
        <f t="shared" si="2"/>
        <v>7.8382764529306356E-2</v>
      </c>
      <c r="Q39" s="43">
        <f t="shared" si="3"/>
        <v>6.199289045027459E-2</v>
      </c>
      <c r="R39" s="43">
        <f t="shared" si="4"/>
        <v>1.4098708596520253E-2</v>
      </c>
      <c r="T39" s="43">
        <f t="shared" si="1"/>
        <v>5.25322885410789E-2</v>
      </c>
      <c r="U39" s="43"/>
      <c r="V39" s="43">
        <f t="shared" si="5"/>
        <v>5.1246396424896326E-2</v>
      </c>
      <c r="X39" s="43">
        <v>3.579400131615551E-2</v>
      </c>
      <c r="Y39" s="43"/>
      <c r="Z39" s="43">
        <f t="shared" si="6"/>
        <v>3.4508109199972936E-2</v>
      </c>
    </row>
    <row r="40" spans="12:26">
      <c r="L40" s="47">
        <v>-6.1581645403932603E-3</v>
      </c>
      <c r="M40" s="43">
        <v>-8.0669528754225492E-3</v>
      </c>
      <c r="N40" s="43">
        <v>-9.0909005525025531E-3</v>
      </c>
      <c r="P40" s="43">
        <f t="shared" si="2"/>
        <v>-7.444056656575832E-3</v>
      </c>
      <c r="Q40" s="43">
        <f t="shared" si="3"/>
        <v>-9.35284499160512E-3</v>
      </c>
      <c r="R40" s="43">
        <f t="shared" si="4"/>
        <v>-1.0376792668685124E-2</v>
      </c>
      <c r="T40" s="43">
        <f t="shared" si="1"/>
        <v>-7.9349168773977432E-3</v>
      </c>
      <c r="U40" s="43"/>
      <c r="V40" s="43">
        <f t="shared" si="5"/>
        <v>-9.220808993580314E-3</v>
      </c>
      <c r="X40" s="43">
        <v>1.4822335025380884E-2</v>
      </c>
      <c r="Y40" s="43"/>
      <c r="Z40" s="43">
        <f t="shared" si="6"/>
        <v>1.3536442909198313E-2</v>
      </c>
    </row>
    <row r="41" spans="12:26">
      <c r="L41" s="47">
        <v>-3.076415118360119E-2</v>
      </c>
      <c r="M41" s="43">
        <v>3.9435319426614164E-2</v>
      </c>
      <c r="N41" s="43">
        <v>-0.25382260811845159</v>
      </c>
      <c r="P41" s="43">
        <f t="shared" si="2"/>
        <v>-3.2050043299783761E-2</v>
      </c>
      <c r="Q41" s="43">
        <f t="shared" si="3"/>
        <v>3.814942731043159E-2</v>
      </c>
      <c r="R41" s="43">
        <f t="shared" si="4"/>
        <v>-0.25510850023463416</v>
      </c>
      <c r="T41" s="43">
        <f t="shared" si="1"/>
        <v>-6.596146320497942E-2</v>
      </c>
      <c r="U41" s="43"/>
      <c r="V41" s="43">
        <f t="shared" si="5"/>
        <v>-6.7247355321161995E-2</v>
      </c>
      <c r="X41" s="43">
        <v>-4.4043423821141348E-2</v>
      </c>
      <c r="Y41" s="43"/>
      <c r="Z41" s="43">
        <f t="shared" si="6"/>
        <v>-4.5329315937323922E-2</v>
      </c>
    </row>
    <row r="42" spans="12:26">
      <c r="L42" s="47">
        <v>5.0807521234120405E-2</v>
      </c>
      <c r="M42" s="43">
        <v>-1.5352833603846098E-2</v>
      </c>
      <c r="N42" s="43">
        <v>-0.23155739506993384</v>
      </c>
      <c r="P42" s="43">
        <f t="shared" si="2"/>
        <v>4.9521629117937831E-2</v>
      </c>
      <c r="Q42" s="43">
        <f t="shared" si="3"/>
        <v>-1.6638725720028669E-2</v>
      </c>
      <c r="R42" s="43">
        <f t="shared" si="4"/>
        <v>-0.23284328718611641</v>
      </c>
      <c r="T42" s="43">
        <f t="shared" si="1"/>
        <v>-6.5681901879129645E-2</v>
      </c>
      <c r="U42" s="43"/>
      <c r="V42" s="43">
        <f t="shared" si="5"/>
        <v>-6.6967793995312219E-2</v>
      </c>
      <c r="X42" s="43">
        <v>-8.628488866683881E-3</v>
      </c>
      <c r="Y42" s="43"/>
      <c r="Z42" s="43">
        <f t="shared" si="6"/>
        <v>-9.9143809828664518E-3</v>
      </c>
    </row>
    <row r="43" spans="12:26">
      <c r="L43" s="47">
        <v>-7.7809806015177688E-2</v>
      </c>
      <c r="M43" s="43">
        <v>-5.3373279182549804E-2</v>
      </c>
      <c r="N43" s="43">
        <v>1.2000020345052083E-2</v>
      </c>
      <c r="P43" s="43">
        <f t="shared" si="2"/>
        <v>-7.9095698131360262E-2</v>
      </c>
      <c r="Q43" s="43">
        <f t="shared" si="3"/>
        <v>-5.4659171298732379E-2</v>
      </c>
      <c r="R43" s="43">
        <f t="shared" si="4"/>
        <v>1.0714128228869512E-2</v>
      </c>
      <c r="T43" s="43">
        <f t="shared" si="1"/>
        <v>-3.9184253812511442E-2</v>
      </c>
      <c r="U43" s="43"/>
      <c r="V43" s="43">
        <f t="shared" si="5"/>
        <v>-4.0470145928694017E-2</v>
      </c>
      <c r="X43" s="43">
        <v>-6.1163474897164116E-2</v>
      </c>
      <c r="Y43" s="43"/>
      <c r="Z43" s="43">
        <f t="shared" si="6"/>
        <v>-6.244936701334669E-2</v>
      </c>
    </row>
    <row r="44" spans="12:26">
      <c r="L44" s="47">
        <v>7.0601921247519014E-3</v>
      </c>
      <c r="M44" s="43">
        <v>-1.8688633458701583E-2</v>
      </c>
      <c r="N44" s="43">
        <v>-5.0065890224172516E-2</v>
      </c>
      <c r="P44" s="43">
        <f t="shared" si="2"/>
        <v>5.7743000085693297E-3</v>
      </c>
      <c r="Q44" s="43">
        <f t="shared" si="3"/>
        <v>-1.9974525574884154E-2</v>
      </c>
      <c r="R44" s="43">
        <f t="shared" si="4"/>
        <v>-5.135178234035509E-2</v>
      </c>
      <c r="T44" s="43">
        <f t="shared" si="1"/>
        <v>-2.2244105149231599E-2</v>
      </c>
      <c r="U44" s="43"/>
      <c r="V44" s="43">
        <f t="shared" si="5"/>
        <v>-2.352999726541417E-2</v>
      </c>
      <c r="X44" s="43">
        <v>-3.4761162090602316E-2</v>
      </c>
      <c r="Y44" s="43"/>
      <c r="Z44" s="43">
        <f t="shared" si="6"/>
        <v>-3.604705420678489E-2</v>
      </c>
    </row>
    <row r="45" spans="12:26">
      <c r="L45" s="47">
        <v>-2.7927827209694354E-2</v>
      </c>
      <c r="M45" s="43">
        <v>4.6965844175401707E-2</v>
      </c>
      <c r="N45" s="43">
        <v>-0.18307907970561224</v>
      </c>
      <c r="P45" s="43">
        <f t="shared" si="2"/>
        <v>-2.9213719325876925E-2</v>
      </c>
      <c r="Q45" s="43">
        <f t="shared" si="3"/>
        <v>4.5679952059219132E-2</v>
      </c>
      <c r="R45" s="43">
        <f t="shared" si="4"/>
        <v>-0.18436497182179482</v>
      </c>
      <c r="T45" s="43">
        <f t="shared" si="1"/>
        <v>-4.0314951472662605E-2</v>
      </c>
      <c r="U45" s="43"/>
      <c r="V45" s="43">
        <f t="shared" si="5"/>
        <v>-4.1600843588845179E-2</v>
      </c>
      <c r="X45" s="43">
        <v>-5.9595830546432804E-3</v>
      </c>
      <c r="Y45" s="43"/>
      <c r="Z45" s="43">
        <f t="shared" si="6"/>
        <v>-7.2454751708258521E-3</v>
      </c>
    </row>
    <row r="46" spans="12:26">
      <c r="L46" s="47">
        <v>0.10037831260311364</v>
      </c>
      <c r="M46" s="43">
        <v>3.4222190493518427E-2</v>
      </c>
      <c r="N46" s="43">
        <v>1.1884579498835229E-2</v>
      </c>
      <c r="P46" s="43">
        <f t="shared" si="2"/>
        <v>9.9092420486931065E-2</v>
      </c>
      <c r="Q46" s="43">
        <f t="shared" si="3"/>
        <v>3.2936298377335853E-2</v>
      </c>
      <c r="R46" s="43">
        <f t="shared" si="4"/>
        <v>1.0598687382652659E-2</v>
      </c>
      <c r="T46" s="43">
        <f t="shared" si="1"/>
        <v>4.27940328220116E-2</v>
      </c>
      <c r="U46" s="43"/>
      <c r="V46" s="43">
        <f t="shared" si="5"/>
        <v>4.1508140705829026E-2</v>
      </c>
      <c r="X46" s="43">
        <v>4.7546684811370588E-2</v>
      </c>
      <c r="Y46" s="43"/>
      <c r="Z46" s="43">
        <f t="shared" si="6"/>
        <v>4.6260792695188013E-2</v>
      </c>
    </row>
    <row r="47" spans="12:26">
      <c r="L47" s="47">
        <v>-4.6309203532031773E-2</v>
      </c>
      <c r="M47" s="43">
        <v>-5.2168503983569909E-3</v>
      </c>
      <c r="N47" s="43">
        <v>0.15436242792038354</v>
      </c>
      <c r="P47" s="43">
        <f t="shared" si="2"/>
        <v>-4.7595095648214347E-2</v>
      </c>
      <c r="Q47" s="43">
        <f t="shared" si="3"/>
        <v>-6.5027425145395626E-3</v>
      </c>
      <c r="R47" s="43">
        <f t="shared" si="4"/>
        <v>0.15307653580420097</v>
      </c>
      <c r="T47" s="43">
        <f t="shared" si="1"/>
        <v>3.3727671858275493E-2</v>
      </c>
      <c r="U47" s="43"/>
      <c r="V47" s="43">
        <f t="shared" si="5"/>
        <v>3.2441779742092919E-2</v>
      </c>
      <c r="X47" s="43">
        <v>1.0674153248796614E-2</v>
      </c>
      <c r="Y47" s="43"/>
      <c r="Z47" s="43">
        <f t="shared" si="6"/>
        <v>9.3882611326140432E-3</v>
      </c>
    </row>
    <row r="48" spans="12:26">
      <c r="L48" s="47">
        <v>-7.097846638687063E-3</v>
      </c>
      <c r="M48" s="43">
        <v>-3.5960467526202466E-2</v>
      </c>
      <c r="N48" s="43">
        <v>-0.15261630425426065</v>
      </c>
      <c r="P48" s="43">
        <f t="shared" si="2"/>
        <v>-8.3837387548696338E-3</v>
      </c>
      <c r="Q48" s="43">
        <f t="shared" si="3"/>
        <v>-3.7246359642385041E-2</v>
      </c>
      <c r="R48" s="43">
        <f t="shared" si="4"/>
        <v>-0.15390219637044322</v>
      </c>
      <c r="T48" s="43">
        <f t="shared" si="1"/>
        <v>-6.4702932288338011E-2</v>
      </c>
      <c r="U48" s="43"/>
      <c r="V48" s="43">
        <f t="shared" si="5"/>
        <v>-6.5988824404520585E-2</v>
      </c>
      <c r="X48" s="43">
        <v>-8.5962381639269392E-2</v>
      </c>
      <c r="Y48" s="43"/>
      <c r="Z48" s="43">
        <f t="shared" si="6"/>
        <v>-8.7248273755451966E-2</v>
      </c>
    </row>
    <row r="49" spans="12:26">
      <c r="L49" s="47">
        <v>-8.7370897403988707E-2</v>
      </c>
      <c r="M49" s="43">
        <v>6.4190318897800261E-2</v>
      </c>
      <c r="N49" s="43">
        <v>-0.27787305433260956</v>
      </c>
      <c r="P49" s="43">
        <f t="shared" si="2"/>
        <v>-8.8656789520171281E-2</v>
      </c>
      <c r="Q49" s="43">
        <f t="shared" si="3"/>
        <v>6.2904426781617687E-2</v>
      </c>
      <c r="R49" s="43">
        <f t="shared" si="4"/>
        <v>-0.27915894644879213</v>
      </c>
      <c r="T49" s="43">
        <f t="shared" si="1"/>
        <v>-7.4923533117149554E-2</v>
      </c>
      <c r="U49" s="43"/>
      <c r="V49" s="43">
        <f t="shared" si="5"/>
        <v>-7.6209425233332129E-2</v>
      </c>
      <c r="X49" s="43">
        <v>-9.8593749999998925E-3</v>
      </c>
      <c r="Y49" s="43"/>
      <c r="Z49" s="43">
        <f t="shared" si="6"/>
        <v>-1.1145267116182463E-2</v>
      </c>
    </row>
    <row r="50" spans="12:26">
      <c r="L50" s="47">
        <v>-5.2219093292516757E-3</v>
      </c>
      <c r="M50" s="43">
        <v>2.8625661596746337E-2</v>
      </c>
      <c r="N50" s="43">
        <v>0.49406173512092522</v>
      </c>
      <c r="P50" s="43">
        <f t="shared" si="2"/>
        <v>-6.5078014454342473E-3</v>
      </c>
      <c r="Q50" s="43">
        <f t="shared" si="3"/>
        <v>2.7339769480563766E-2</v>
      </c>
      <c r="R50" s="43">
        <f t="shared" si="4"/>
        <v>0.49277584300474264</v>
      </c>
      <c r="T50" s="43">
        <f t="shared" si="1"/>
        <v>0.16217947185426862</v>
      </c>
      <c r="U50" s="43"/>
      <c r="V50" s="43">
        <f t="shared" si="5"/>
        <v>0.16089357973808605</v>
      </c>
      <c r="X50" s="43">
        <v>1.2190503242910378E-2</v>
      </c>
      <c r="Y50" s="43"/>
      <c r="Z50" s="43">
        <f t="shared" si="6"/>
        <v>1.0904611126727807E-2</v>
      </c>
    </row>
    <row r="51" spans="12:26">
      <c r="L51" s="47">
        <v>-2.9371308728624035E-2</v>
      </c>
      <c r="M51" s="43">
        <v>-1.6328290797897306E-2</v>
      </c>
      <c r="N51" s="43">
        <v>-0.16534180733868312</v>
      </c>
      <c r="P51" s="43">
        <f t="shared" si="2"/>
        <v>-3.0657200844806606E-2</v>
      </c>
      <c r="Q51" s="43">
        <f t="shared" si="3"/>
        <v>-1.7614182914079877E-2</v>
      </c>
      <c r="R51" s="43">
        <f t="shared" si="4"/>
        <v>-0.16662769945486569</v>
      </c>
      <c r="T51" s="43">
        <f t="shared" si="1"/>
        <v>-6.4630553836052582E-2</v>
      </c>
      <c r="U51" s="43"/>
      <c r="V51" s="43">
        <f t="shared" si="5"/>
        <v>-6.5916445952235156E-2</v>
      </c>
      <c r="X51" s="43">
        <v>-9.0791453271283018E-2</v>
      </c>
      <c r="Y51" s="43"/>
      <c r="Z51" s="43">
        <f t="shared" si="6"/>
        <v>-9.2077345387465592E-2</v>
      </c>
    </row>
    <row r="52" spans="12:26">
      <c r="L52" s="47">
        <v>-4.5583321511669259E-2</v>
      </c>
      <c r="M52" s="43">
        <v>-0.11460737249726562</v>
      </c>
      <c r="N52" s="43">
        <v>-0.33333333333333331</v>
      </c>
      <c r="P52" s="43">
        <f t="shared" si="2"/>
        <v>-4.6869213627851833E-2</v>
      </c>
      <c r="Q52" s="43">
        <f t="shared" si="3"/>
        <v>-0.11589326461344819</v>
      </c>
      <c r="R52" s="43">
        <f t="shared" si="4"/>
        <v>-0.33461922544951589</v>
      </c>
      <c r="T52" s="43">
        <f t="shared" si="1"/>
        <v>-0.16503768169578553</v>
      </c>
      <c r="U52" s="43"/>
      <c r="V52" s="43">
        <f t="shared" si="5"/>
        <v>-0.16632357381196811</v>
      </c>
      <c r="X52" s="43">
        <v>-0.16942453444905514</v>
      </c>
      <c r="Y52" s="43"/>
      <c r="Z52" s="43">
        <f t="shared" si="6"/>
        <v>-0.17071042656523772</v>
      </c>
    </row>
    <row r="53" spans="12:26">
      <c r="L53" s="47">
        <v>8.1354540688747368E-2</v>
      </c>
      <c r="M53" s="43">
        <v>-4.499508175199704E-2</v>
      </c>
      <c r="N53" s="43">
        <v>-0.32571431568690706</v>
      </c>
      <c r="P53" s="43">
        <f t="shared" si="2"/>
        <v>8.0068648572564793E-2</v>
      </c>
      <c r="Q53" s="43">
        <f t="shared" si="3"/>
        <v>-4.6280973868179615E-2</v>
      </c>
      <c r="R53" s="43">
        <f t="shared" si="4"/>
        <v>-0.32700020780308964</v>
      </c>
      <c r="T53" s="43">
        <f t="shared" si="1"/>
        <v>-0.10095205771860967</v>
      </c>
      <c r="U53" s="43"/>
      <c r="V53" s="43">
        <f t="shared" si="5"/>
        <v>-0.10223794983479224</v>
      </c>
      <c r="X53" s="43">
        <v>-7.4849032258064496E-2</v>
      </c>
      <c r="Y53" s="43"/>
      <c r="Z53" s="43">
        <f t="shared" si="6"/>
        <v>-7.613492437424707E-2</v>
      </c>
    </row>
    <row r="54" spans="12:26">
      <c r="L54" s="47">
        <v>-3.9925101526154926E-3</v>
      </c>
      <c r="M54" s="43">
        <v>2.1338340063645142E-2</v>
      </c>
      <c r="N54" s="43">
        <v>-8.47456856590309E-2</v>
      </c>
      <c r="P54" s="43">
        <f t="shared" si="2"/>
        <v>-5.2784022687980643E-3</v>
      </c>
      <c r="Q54" s="43">
        <f t="shared" si="3"/>
        <v>2.0052447947462571E-2</v>
      </c>
      <c r="R54" s="43">
        <f t="shared" si="4"/>
        <v>-8.6031577775213475E-2</v>
      </c>
      <c r="T54" s="43">
        <f t="shared" si="1"/>
        <v>-1.6773515888021357E-2</v>
      </c>
      <c r="U54" s="43"/>
      <c r="V54" s="43">
        <f t="shared" si="5"/>
        <v>-1.8059408004203928E-2</v>
      </c>
      <c r="X54" s="43">
        <v>7.8215656520574939E-3</v>
      </c>
      <c r="Y54" s="43"/>
      <c r="Z54" s="43">
        <f t="shared" si="6"/>
        <v>6.5356735358749222E-3</v>
      </c>
    </row>
    <row r="55" spans="12:26">
      <c r="L55" s="47">
        <v>-4.19641537928402E-2</v>
      </c>
      <c r="M55" s="43">
        <v>-3.5768061822704762E-2</v>
      </c>
      <c r="N55" s="43">
        <v>1.3888875091517962E-2</v>
      </c>
      <c r="P55" s="43">
        <f t="shared" si="2"/>
        <v>-4.3250045909022775E-2</v>
      </c>
      <c r="Q55" s="43">
        <f t="shared" si="3"/>
        <v>-3.7053953938887337E-2</v>
      </c>
      <c r="R55" s="43">
        <f t="shared" si="4"/>
        <v>1.2602982975335391E-2</v>
      </c>
      <c r="T55" s="43">
        <f t="shared" si="1"/>
        <v>-2.2119439839664339E-2</v>
      </c>
      <c r="U55" s="43"/>
      <c r="V55" s="43">
        <f t="shared" si="5"/>
        <v>-2.340533195584691E-2</v>
      </c>
      <c r="X55" s="43">
        <v>-8.565734846388029E-2</v>
      </c>
      <c r="Y55" s="43"/>
      <c r="Z55" s="43">
        <f t="shared" si="6"/>
        <v>-8.6943240580062864E-2</v>
      </c>
    </row>
    <row r="56" spans="12:26">
      <c r="L56" s="47">
        <v>-0.11218621148604897</v>
      </c>
      <c r="M56" s="43">
        <v>-0.13329864464841074</v>
      </c>
      <c r="N56" s="43">
        <v>-4.566205571678748E-3</v>
      </c>
      <c r="P56" s="43">
        <f t="shared" si="2"/>
        <v>-0.11347210360223155</v>
      </c>
      <c r="Q56" s="43">
        <f t="shared" si="3"/>
        <v>-0.13458453676459331</v>
      </c>
      <c r="R56" s="43">
        <f t="shared" si="4"/>
        <v>-5.8520976878613197E-3</v>
      </c>
      <c r="T56" s="43">
        <f t="shared" si="1"/>
        <v>-8.9284937782126081E-2</v>
      </c>
      <c r="U56" s="43"/>
      <c r="V56" s="43">
        <f t="shared" si="5"/>
        <v>-9.0570829898308655E-2</v>
      </c>
      <c r="X56" s="43">
        <v>-0.10993122487528451</v>
      </c>
      <c r="Y56" s="43"/>
      <c r="Z56" s="43">
        <f t="shared" si="6"/>
        <v>-0.11121711699146708</v>
      </c>
    </row>
    <row r="57" spans="12:26">
      <c r="L57" s="47">
        <v>2.9454630890687408E-3</v>
      </c>
      <c r="M57" s="43">
        <v>5.1999969482421873E-2</v>
      </c>
      <c r="N57" s="43">
        <v>0.39908250409057366</v>
      </c>
      <c r="P57" s="43">
        <f t="shared" si="2"/>
        <v>1.6595709728861694E-3</v>
      </c>
      <c r="Q57" s="43">
        <f t="shared" si="3"/>
        <v>5.0714077366239299E-2</v>
      </c>
      <c r="R57" s="43">
        <f t="shared" si="4"/>
        <v>0.39779661197439109</v>
      </c>
      <c r="T57" s="43">
        <f t="shared" si="1"/>
        <v>0.14606445832847509</v>
      </c>
      <c r="U57" s="43"/>
      <c r="V57" s="43">
        <f t="shared" si="5"/>
        <v>0.14477856621229251</v>
      </c>
      <c r="X57" s="43">
        <v>8.5404508291501591E-2</v>
      </c>
      <c r="Y57" s="43"/>
      <c r="Z57" s="43">
        <f t="shared" si="6"/>
        <v>8.4118616175319016E-2</v>
      </c>
    </row>
    <row r="58" spans="12:26">
      <c r="L58" s="47">
        <v>-2.0998536523010355E-2</v>
      </c>
      <c r="M58" s="43">
        <v>-4.5626971621987571E-3</v>
      </c>
      <c r="N58" s="43">
        <v>0.18360654148674857</v>
      </c>
      <c r="P58" s="43">
        <f t="shared" si="2"/>
        <v>-2.2284428639192926E-2</v>
      </c>
      <c r="Q58" s="43">
        <f t="shared" si="3"/>
        <v>-5.8485892783813288E-3</v>
      </c>
      <c r="R58" s="43">
        <f t="shared" si="4"/>
        <v>0.182320649370566</v>
      </c>
      <c r="T58" s="43">
        <f t="shared" si="1"/>
        <v>4.8792388054247265E-2</v>
      </c>
      <c r="U58" s="43"/>
      <c r="V58" s="43">
        <f t="shared" si="5"/>
        <v>4.7506495938064691E-2</v>
      </c>
      <c r="X58" s="43">
        <v>9.3925075513554779E-2</v>
      </c>
      <c r="Y58" s="43"/>
      <c r="Z58" s="43">
        <f t="shared" si="6"/>
        <v>9.2639183397372205E-2</v>
      </c>
    </row>
    <row r="59" spans="12:26">
      <c r="L59" s="47">
        <v>4.0197995781918551E-2</v>
      </c>
      <c r="M59" s="43">
        <v>5.3475920634481193E-2</v>
      </c>
      <c r="N59" s="43">
        <v>0.25761775451035462</v>
      </c>
      <c r="P59" s="43">
        <f t="shared" si="2"/>
        <v>3.8912103665735977E-2</v>
      </c>
      <c r="Q59" s="43">
        <f t="shared" si="3"/>
        <v>5.2190028518298619E-2</v>
      </c>
      <c r="R59" s="43">
        <f t="shared" si="4"/>
        <v>0.25633186239417205</v>
      </c>
      <c r="T59" s="43">
        <f t="shared" si="1"/>
        <v>0.11241703312140615</v>
      </c>
      <c r="U59" s="43"/>
      <c r="V59" s="43">
        <f t="shared" si="5"/>
        <v>0.11113114100522357</v>
      </c>
      <c r="X59" s="43">
        <v>5.3081426656431674E-2</v>
      </c>
      <c r="Y59" s="43"/>
      <c r="Z59" s="43">
        <f t="shared" si="6"/>
        <v>5.17955345402491E-2</v>
      </c>
    </row>
    <row r="60" spans="12:26">
      <c r="L60" s="47">
        <v>8.0750569619299252E-3</v>
      </c>
      <c r="M60" s="43">
        <v>2.9731678647301155E-2</v>
      </c>
      <c r="N60" s="43">
        <v>-0.1475771105558514</v>
      </c>
      <c r="P60" s="43">
        <f t="shared" si="2"/>
        <v>6.7891648457473535E-3</v>
      </c>
      <c r="Q60" s="43">
        <f t="shared" si="3"/>
        <v>2.8445786531118584E-2</v>
      </c>
      <c r="R60" s="43">
        <f t="shared" si="4"/>
        <v>-0.14886300267203398</v>
      </c>
      <c r="T60" s="43">
        <f t="shared" si="1"/>
        <v>-2.9167141805775443E-2</v>
      </c>
      <c r="U60" s="43"/>
      <c r="V60" s="43">
        <f t="shared" si="5"/>
        <v>-3.0453033921958014E-2</v>
      </c>
      <c r="X60" s="43">
        <v>1.9583523728705643E-4</v>
      </c>
      <c r="Y60" s="43"/>
      <c r="Z60" s="43">
        <f t="shared" si="6"/>
        <v>-1.090056878895515E-3</v>
      </c>
    </row>
    <row r="61" spans="12:26">
      <c r="L61" s="47">
        <v>6.8659090601538054E-3</v>
      </c>
      <c r="M61" s="43">
        <v>7.2007045907128642E-2</v>
      </c>
      <c r="N61" s="43">
        <v>-5.4263515746346282E-2</v>
      </c>
      <c r="P61" s="43">
        <f t="shared" si="2"/>
        <v>5.5800169439712338E-3</v>
      </c>
      <c r="Q61" s="43">
        <f t="shared" si="3"/>
        <v>7.0721153790946067E-2</v>
      </c>
      <c r="R61" s="43">
        <f t="shared" si="4"/>
        <v>-5.5549407862528856E-2</v>
      </c>
      <c r="T61" s="43">
        <f t="shared" si="1"/>
        <v>1.8519756624085865E-2</v>
      </c>
      <c r="U61" s="43"/>
      <c r="V61" s="43">
        <f t="shared" si="5"/>
        <v>1.7233864507903294E-2</v>
      </c>
      <c r="X61" s="43">
        <v>7.4141756950789617E-2</v>
      </c>
      <c r="Y61" s="43"/>
      <c r="Z61" s="43">
        <f t="shared" si="6"/>
        <v>7.2855864834607043E-2</v>
      </c>
    </row>
    <row r="62" spans="12:26">
      <c r="L62" s="47">
        <v>-1.7616108460314684E-2</v>
      </c>
      <c r="M62" s="43">
        <v>-7.3903886919065263E-3</v>
      </c>
      <c r="N62" s="43">
        <v>0.19125683914426492</v>
      </c>
      <c r="P62" s="43">
        <f t="shared" si="2"/>
        <v>-1.8902000576497255E-2</v>
      </c>
      <c r="Q62" s="43">
        <f t="shared" si="3"/>
        <v>-8.6762808080890971E-3</v>
      </c>
      <c r="R62" s="43">
        <f t="shared" si="4"/>
        <v>0.18997094702808234</v>
      </c>
      <c r="T62" s="43">
        <f t="shared" si="1"/>
        <v>5.0589907903330643E-2</v>
      </c>
      <c r="U62" s="43"/>
      <c r="V62" s="43">
        <f t="shared" si="5"/>
        <v>4.9304015787148069E-2</v>
      </c>
      <c r="X62" s="43">
        <v>3.3560173370599911E-2</v>
      </c>
      <c r="Y62" s="43"/>
      <c r="Z62" s="43">
        <f t="shared" si="6"/>
        <v>3.2274281254417336E-2</v>
      </c>
    </row>
    <row r="63" spans="12:26">
      <c r="L63" s="47">
        <v>-7.8091236964796329E-3</v>
      </c>
      <c r="M63" s="43">
        <v>7.4454131893476536E-3</v>
      </c>
      <c r="N63" s="43">
        <v>0.29816506286430605</v>
      </c>
      <c r="P63" s="43">
        <f t="shared" si="2"/>
        <v>-9.0950158126622046E-3</v>
      </c>
      <c r="Q63" s="43">
        <f t="shared" si="3"/>
        <v>6.1595210731650819E-3</v>
      </c>
      <c r="R63" s="43">
        <f t="shared" si="4"/>
        <v>0.29687917074812348</v>
      </c>
      <c r="T63" s="43">
        <f t="shared" si="1"/>
        <v>9.2232265765934865E-2</v>
      </c>
      <c r="U63" s="43"/>
      <c r="V63" s="43">
        <f t="shared" si="5"/>
        <v>9.0946373649752291E-2</v>
      </c>
      <c r="X63" s="43">
        <v>3.5723383825517763E-2</v>
      </c>
      <c r="Y63" s="43"/>
      <c r="Z63" s="43">
        <f t="shared" si="6"/>
        <v>3.4437491709335188E-2</v>
      </c>
    </row>
    <row r="64" spans="12:26">
      <c r="L64" s="47">
        <v>4.4599876568607283E-2</v>
      </c>
      <c r="M64" s="43">
        <v>-3.0218429479910599E-2</v>
      </c>
      <c r="N64" s="43">
        <v>-0.18727914688269806</v>
      </c>
      <c r="P64" s="43">
        <f t="shared" si="2"/>
        <v>4.3313984452424709E-2</v>
      </c>
      <c r="Q64" s="43">
        <f t="shared" si="3"/>
        <v>-3.150432159609317E-2</v>
      </c>
      <c r="R64" s="43">
        <f t="shared" si="4"/>
        <v>-0.18856503899888064</v>
      </c>
      <c r="T64" s="43">
        <f t="shared" si="1"/>
        <v>-6.0568035077106744E-2</v>
      </c>
      <c r="U64" s="43"/>
      <c r="V64" s="43">
        <f t="shared" si="5"/>
        <v>-6.1853927193289318E-2</v>
      </c>
      <c r="X64" s="43">
        <v>-1.9761985847807084E-2</v>
      </c>
      <c r="Y64" s="43"/>
      <c r="Z64" s="43">
        <f t="shared" si="6"/>
        <v>-2.1047877963989655E-2</v>
      </c>
    </row>
    <row r="65" spans="12:26">
      <c r="L65" s="47">
        <v>4.7439676471934533E-2</v>
      </c>
      <c r="M65" s="43">
        <v>6.4182912184504989E-2</v>
      </c>
      <c r="N65" s="43">
        <v>0.52391312482902541</v>
      </c>
      <c r="P65" s="43">
        <f t="shared" si="2"/>
        <v>4.6153784355751959E-2</v>
      </c>
      <c r="Q65" s="43">
        <f t="shared" si="3"/>
        <v>6.2897020068322415E-2</v>
      </c>
      <c r="R65" s="43">
        <f t="shared" si="4"/>
        <v>0.52262723271284284</v>
      </c>
      <c r="T65" s="43">
        <f t="shared" si="1"/>
        <v>0.1999740202025804</v>
      </c>
      <c r="U65" s="43"/>
      <c r="V65" s="43">
        <f t="shared" si="5"/>
        <v>0.19868812808639782</v>
      </c>
      <c r="X65" s="43">
        <v>5.7363996950366314E-2</v>
      </c>
      <c r="Y65" s="43"/>
      <c r="Z65" s="43">
        <f t="shared" si="6"/>
        <v>5.607810483418374E-2</v>
      </c>
    </row>
    <row r="66" spans="12:26">
      <c r="L66" s="47">
        <v>-9.1647759176590446E-2</v>
      </c>
      <c r="M66" s="43">
        <v>2.4984142356925632E-2</v>
      </c>
      <c r="N66" s="43">
        <v>0.38088444923201331</v>
      </c>
      <c r="P66" s="43">
        <f t="shared" si="2"/>
        <v>-9.293365129277302E-2</v>
      </c>
      <c r="Q66" s="43">
        <f t="shared" si="3"/>
        <v>2.3698250240743061E-2</v>
      </c>
      <c r="R66" s="43">
        <f t="shared" si="4"/>
        <v>0.37959855711583074</v>
      </c>
      <c r="T66" s="43">
        <f t="shared" si="1"/>
        <v>0.1060391469628964</v>
      </c>
      <c r="U66" s="43"/>
      <c r="V66" s="43">
        <f t="shared" si="5"/>
        <v>0.10475325484671383</v>
      </c>
      <c r="X66" s="43">
        <v>1.7770597738287375E-2</v>
      </c>
      <c r="Y66" s="43"/>
      <c r="Z66" s="43">
        <f t="shared" si="6"/>
        <v>1.6484705622104804E-2</v>
      </c>
    </row>
    <row r="67" spans="12:26">
      <c r="L67" s="47">
        <v>-5.5140079214124282E-2</v>
      </c>
      <c r="M67" s="43">
        <v>-2.4064632256334376E-2</v>
      </c>
      <c r="N67" s="43">
        <v>-0.22933886333059317</v>
      </c>
      <c r="P67" s="43">
        <f t="shared" si="2"/>
        <v>-5.6425971330306857E-2</v>
      </c>
      <c r="Q67" s="43">
        <f t="shared" si="3"/>
        <v>-2.5350524372516947E-2</v>
      </c>
      <c r="R67" s="43">
        <f t="shared" si="4"/>
        <v>-0.23062475544677574</v>
      </c>
      <c r="T67" s="43">
        <f t="shared" si="1"/>
        <v>-9.3646736531206143E-2</v>
      </c>
      <c r="U67" s="43"/>
      <c r="V67" s="43">
        <f t="shared" si="5"/>
        <v>-9.4932628647388717E-2</v>
      </c>
      <c r="X67" s="43">
        <v>-3.6974262397991176E-2</v>
      </c>
      <c r="Y67" s="43"/>
      <c r="Z67" s="43">
        <f t="shared" si="6"/>
        <v>-3.826015451417375E-2</v>
      </c>
    </row>
    <row r="68" spans="12:26">
      <c r="L68" s="47">
        <v>8.8468057135556097E-3</v>
      </c>
      <c r="M68" s="43">
        <v>2.227161760882689E-3</v>
      </c>
      <c r="N68" s="43">
        <v>6.0321689941561243E-2</v>
      </c>
      <c r="P68" s="43">
        <f t="shared" si="2"/>
        <v>7.560913597373038E-3</v>
      </c>
      <c r="Q68" s="43">
        <f t="shared" si="3"/>
        <v>9.4126964470011751E-4</v>
      </c>
      <c r="R68" s="43">
        <f t="shared" si="4"/>
        <v>5.9035797825378669E-2</v>
      </c>
      <c r="T68" s="43">
        <f t="shared" si="1"/>
        <v>2.1414607577402545E-2</v>
      </c>
      <c r="U68" s="43"/>
      <c r="V68" s="43">
        <f t="shared" si="5"/>
        <v>2.0128715461219974E-2</v>
      </c>
      <c r="X68" s="43">
        <v>2.8513693463827261E-2</v>
      </c>
      <c r="Y68" s="43"/>
      <c r="Z68" s="43">
        <f t="shared" si="6"/>
        <v>2.722780134764469E-2</v>
      </c>
    </row>
    <row r="69" spans="12:26">
      <c r="L69" s="47">
        <v>3.0461590106670672E-2</v>
      </c>
      <c r="M69" s="43">
        <v>3.4920586480034724E-2</v>
      </c>
      <c r="N69" s="43">
        <v>0.17193434090855383</v>
      </c>
      <c r="P69" s="43">
        <f t="shared" si="2"/>
        <v>2.9175697990488102E-2</v>
      </c>
      <c r="Q69" s="43">
        <f t="shared" si="3"/>
        <v>3.363469436385215E-2</v>
      </c>
      <c r="R69" s="43">
        <f t="shared" si="4"/>
        <v>0.17064844879237126</v>
      </c>
      <c r="T69" s="43">
        <f t="shared" si="1"/>
        <v>7.5513792534214683E-2</v>
      </c>
      <c r="U69" s="43"/>
      <c r="V69" s="43">
        <f t="shared" si="5"/>
        <v>7.4227900418032108E-2</v>
      </c>
      <c r="X69" s="43">
        <v>5.8796367554255768E-2</v>
      </c>
      <c r="Y69" s="43"/>
      <c r="Z69" s="43">
        <f t="shared" si="6"/>
        <v>5.7510475438073194E-2</v>
      </c>
    </row>
    <row r="70" spans="12:26">
      <c r="L70" s="47">
        <v>1.1794464713938156E-2</v>
      </c>
      <c r="M70" s="43">
        <v>-1.3803588015484395E-2</v>
      </c>
      <c r="N70" s="43">
        <v>-2.1575054267872391E-2</v>
      </c>
      <c r="P70" s="43">
        <f t="shared" si="2"/>
        <v>1.0508572597755585E-2</v>
      </c>
      <c r="Q70" s="43">
        <f t="shared" si="3"/>
        <v>-1.5089480131666966E-2</v>
      </c>
      <c r="R70" s="43">
        <f t="shared" si="4"/>
        <v>-2.2860946384054961E-2</v>
      </c>
      <c r="T70" s="43">
        <f t="shared" si="1"/>
        <v>-1.0222000841361371E-2</v>
      </c>
      <c r="U70" s="43"/>
      <c r="V70" s="43">
        <f t="shared" si="5"/>
        <v>-1.1507892957543942E-2</v>
      </c>
      <c r="X70" s="43">
        <v>1.4759327193589966E-2</v>
      </c>
      <c r="Y70" s="43"/>
      <c r="Z70" s="43">
        <f t="shared" si="6"/>
        <v>1.3473435077407395E-2</v>
      </c>
    </row>
    <row r="71" spans="12:26">
      <c r="L71" s="47">
        <v>-0.10786480626661858</v>
      </c>
      <c r="M71" s="43">
        <v>-9.331265209843935E-2</v>
      </c>
      <c r="N71" s="43">
        <v>-5.5126793475563644E-2</v>
      </c>
      <c r="P71" s="43">
        <f t="shared" si="2"/>
        <v>-0.10915069838280116</v>
      </c>
      <c r="Q71" s="43">
        <f t="shared" si="3"/>
        <v>-9.4598544214621924E-2</v>
      </c>
      <c r="R71" s="43">
        <f t="shared" si="4"/>
        <v>-5.6412685591746219E-2</v>
      </c>
      <c r="T71" s="43">
        <f t="shared" ref="T71:T134" si="7">$L$3*L71+$M$3*M71+$N$3*N71</f>
        <v>-8.5089163461984391E-2</v>
      </c>
      <c r="U71" s="43"/>
      <c r="V71" s="43">
        <f t="shared" si="5"/>
        <v>-8.6375055578166965E-2</v>
      </c>
      <c r="X71" s="43">
        <v>-8.1975916203894883E-2</v>
      </c>
      <c r="Y71" s="43"/>
      <c r="Z71" s="43">
        <f t="shared" si="6"/>
        <v>-8.3261808320077457E-2</v>
      </c>
    </row>
    <row r="72" spans="12:26">
      <c r="L72" s="47">
        <v>-5.6070119764838992E-2</v>
      </c>
      <c r="M72" s="43">
        <v>1.3036057395818031E-2</v>
      </c>
      <c r="N72" s="43">
        <v>-0.14585759249417113</v>
      </c>
      <c r="P72" s="43">
        <f t="shared" ref="P72:P135" si="8">L72-$Q$3</f>
        <v>-5.7356011881021567E-2</v>
      </c>
      <c r="Q72" s="43">
        <f t="shared" ref="Q72:Q135" si="9">M72-$Q$3</f>
        <v>1.1750165279635461E-2</v>
      </c>
      <c r="R72" s="43">
        <f t="shared" ref="R72:R135" si="10">N72-$Q$3</f>
        <v>-0.1471434846103537</v>
      </c>
      <c r="T72" s="43">
        <f t="shared" si="7"/>
        <v>-5.1283497925639888E-2</v>
      </c>
      <c r="U72" s="43"/>
      <c r="V72" s="43">
        <f t="shared" ref="V72:V135" si="11">T72-$Q$3</f>
        <v>-5.2569390041822463E-2</v>
      </c>
      <c r="X72" s="43">
        <v>-5.3882376699314394E-2</v>
      </c>
      <c r="Y72" s="43"/>
      <c r="Z72" s="43">
        <f t="shared" ref="Z72:Z135" si="12">X72-$Q$3</f>
        <v>-5.5168268815496968E-2</v>
      </c>
    </row>
    <row r="73" spans="12:26">
      <c r="L73" s="47">
        <v>4.5733320909554308E-2</v>
      </c>
      <c r="M73" s="43">
        <v>-1.6423995904981357E-2</v>
      </c>
      <c r="N73" s="43">
        <v>2.3223988452202905E-2</v>
      </c>
      <c r="P73" s="43">
        <f t="shared" si="8"/>
        <v>4.4447428793371734E-2</v>
      </c>
      <c r="Q73" s="43">
        <f t="shared" si="9"/>
        <v>-1.7709888021163928E-2</v>
      </c>
      <c r="R73" s="43">
        <f t="shared" si="10"/>
        <v>2.1938096336020334E-2</v>
      </c>
      <c r="T73" s="43">
        <f t="shared" si="7"/>
        <v>1.0052355218877183E-2</v>
      </c>
      <c r="U73" s="43"/>
      <c r="V73" s="43">
        <f t="shared" si="11"/>
        <v>8.7664631026946119E-3</v>
      </c>
      <c r="X73" s="43">
        <v>6.8777832756061308E-2</v>
      </c>
      <c r="Y73" s="43"/>
      <c r="Z73" s="43">
        <f t="shared" si="12"/>
        <v>6.7491940639878734E-2</v>
      </c>
    </row>
    <row r="74" spans="12:26">
      <c r="L74" s="47">
        <v>-9.5509331754273664E-3</v>
      </c>
      <c r="M74" s="43">
        <v>-1.8419688277045917E-2</v>
      </c>
      <c r="N74" s="43">
        <v>-0.25100129439965246</v>
      </c>
      <c r="P74" s="43">
        <f t="shared" si="8"/>
        <v>-1.0836825291609937E-2</v>
      </c>
      <c r="Q74" s="43">
        <f t="shared" si="9"/>
        <v>-1.9705580393228488E-2</v>
      </c>
      <c r="R74" s="43">
        <f t="shared" si="10"/>
        <v>-0.25228718651583504</v>
      </c>
      <c r="T74" s="43">
        <f t="shared" si="7"/>
        <v>-8.7025172756445612E-2</v>
      </c>
      <c r="U74" s="43"/>
      <c r="V74" s="43">
        <f t="shared" si="11"/>
        <v>-8.8311064872628187E-2</v>
      </c>
      <c r="X74" s="43">
        <v>-4.7449164851125603E-2</v>
      </c>
      <c r="Y74" s="43"/>
      <c r="Z74" s="43">
        <f t="shared" si="12"/>
        <v>-4.8735056967308177E-2</v>
      </c>
    </row>
    <row r="75" spans="12:26">
      <c r="L75" s="47">
        <v>4.5339202799914192E-2</v>
      </c>
      <c r="M75" s="43">
        <v>8.6636243196247978E-2</v>
      </c>
      <c r="N75" s="43">
        <v>0.26737967278092017</v>
      </c>
      <c r="P75" s="43">
        <f t="shared" si="8"/>
        <v>4.4053310683731618E-2</v>
      </c>
      <c r="Q75" s="43">
        <f t="shared" si="9"/>
        <v>8.5350351080065404E-2</v>
      </c>
      <c r="R75" s="43">
        <f t="shared" si="10"/>
        <v>0.2660937806647376</v>
      </c>
      <c r="T75" s="43">
        <f t="shared" si="7"/>
        <v>0.13196347331017513</v>
      </c>
      <c r="U75" s="43"/>
      <c r="V75" s="43">
        <f t="shared" si="11"/>
        <v>0.13067758119399256</v>
      </c>
      <c r="X75" s="43">
        <v>8.7551104037814742E-2</v>
      </c>
      <c r="Y75" s="43"/>
      <c r="Z75" s="43">
        <f t="shared" si="12"/>
        <v>8.6265211921632168E-2</v>
      </c>
    </row>
    <row r="76" spans="12:26">
      <c r="L76" s="47">
        <v>7.6064037523927513E-2</v>
      </c>
      <c r="M76" s="43">
        <v>2.8728254039632712E-2</v>
      </c>
      <c r="N76" s="43">
        <v>3.164555561285947E-2</v>
      </c>
      <c r="P76" s="43">
        <f t="shared" si="8"/>
        <v>7.4778145407744939E-2</v>
      </c>
      <c r="Q76" s="43">
        <f t="shared" si="9"/>
        <v>2.7442361923450141E-2</v>
      </c>
      <c r="R76" s="43">
        <f t="shared" si="10"/>
        <v>3.03596634966769E-2</v>
      </c>
      <c r="T76" s="43">
        <f t="shared" si="7"/>
        <v>4.060393419528921E-2</v>
      </c>
      <c r="U76" s="43"/>
      <c r="V76" s="43">
        <f t="shared" si="11"/>
        <v>3.9318042079106635E-2</v>
      </c>
      <c r="X76" s="43">
        <v>3.6855941114616098E-2</v>
      </c>
      <c r="Y76" s="43"/>
      <c r="Z76" s="43">
        <f t="shared" si="12"/>
        <v>3.5570048998433523E-2</v>
      </c>
    </row>
    <row r="77" spans="12:26">
      <c r="L77" s="47">
        <v>4.6172353639028538E-2</v>
      </c>
      <c r="M77" s="43">
        <v>-3.435836811636131E-2</v>
      </c>
      <c r="N77" s="43">
        <v>-6.1349796946031914E-3</v>
      </c>
      <c r="P77" s="43">
        <f t="shared" si="8"/>
        <v>4.4886461522845963E-2</v>
      </c>
      <c r="Q77" s="43">
        <f t="shared" si="9"/>
        <v>-3.5644260232543884E-2</v>
      </c>
      <c r="R77" s="43">
        <f t="shared" si="10"/>
        <v>-7.4208718107857631E-3</v>
      </c>
      <c r="T77" s="43">
        <f t="shared" si="7"/>
        <v>-7.0875985408365575E-3</v>
      </c>
      <c r="U77" s="43"/>
      <c r="V77" s="43">
        <f t="shared" si="11"/>
        <v>-8.3734906570191291E-3</v>
      </c>
      <c r="X77" s="43">
        <v>-2.2902827780876267E-3</v>
      </c>
      <c r="Y77" s="43"/>
      <c r="Z77" s="43">
        <f t="shared" si="12"/>
        <v>-3.5761748942701984E-3</v>
      </c>
    </row>
    <row r="78" spans="12:26">
      <c r="L78" s="47">
        <v>5.1178914792075959E-2</v>
      </c>
      <c r="M78" s="43">
        <v>4.8740737738289207E-3</v>
      </c>
      <c r="N78" s="43">
        <v>0.12208509574484647</v>
      </c>
      <c r="P78" s="43">
        <f t="shared" si="8"/>
        <v>4.9893022675893385E-2</v>
      </c>
      <c r="Q78" s="43">
        <f t="shared" si="9"/>
        <v>3.588181657646349E-3</v>
      </c>
      <c r="R78" s="43">
        <f t="shared" si="10"/>
        <v>0.12079920362866389</v>
      </c>
      <c r="T78" s="43">
        <f t="shared" si="7"/>
        <v>5.1235860589807086E-2</v>
      </c>
      <c r="U78" s="43"/>
      <c r="V78" s="43">
        <f t="shared" si="11"/>
        <v>4.9949968473624512E-2</v>
      </c>
      <c r="X78" s="43">
        <v>6.5300072000338938E-2</v>
      </c>
      <c r="Y78" s="43"/>
      <c r="Z78" s="43">
        <f t="shared" si="12"/>
        <v>6.4014179884156364E-2</v>
      </c>
    </row>
    <row r="79" spans="12:26">
      <c r="L79" s="47">
        <v>0.10339164762883081</v>
      </c>
      <c r="M79" s="43">
        <v>-3.3629718151532734E-2</v>
      </c>
      <c r="N79" s="43">
        <v>-4.2787331101719971E-2</v>
      </c>
      <c r="P79" s="43">
        <f t="shared" si="8"/>
        <v>0.10210575551264824</v>
      </c>
      <c r="Q79" s="43">
        <f t="shared" si="9"/>
        <v>-3.4915610267715308E-2</v>
      </c>
      <c r="R79" s="43">
        <f t="shared" si="10"/>
        <v>-4.4073223217902545E-2</v>
      </c>
      <c r="T79" s="43">
        <f t="shared" si="7"/>
        <v>-4.6015921183210507E-3</v>
      </c>
      <c r="U79" s="43"/>
      <c r="V79" s="43">
        <f t="shared" si="11"/>
        <v>-5.8874842345036224E-3</v>
      </c>
      <c r="X79" s="43">
        <v>2.2645590152984729E-2</v>
      </c>
      <c r="Y79" s="43"/>
      <c r="Z79" s="43">
        <f t="shared" si="12"/>
        <v>2.1359698036802158E-2</v>
      </c>
    </row>
    <row r="80" spans="12:26">
      <c r="L80" s="47">
        <v>6.0114011598608741E-2</v>
      </c>
      <c r="M80" s="43">
        <v>2.7940407497995801E-2</v>
      </c>
      <c r="N80" s="43">
        <v>0.17624522706096574</v>
      </c>
      <c r="P80" s="43">
        <f t="shared" si="8"/>
        <v>5.8828119482426167E-2</v>
      </c>
      <c r="Q80" s="43">
        <f t="shared" si="9"/>
        <v>2.665451538181323E-2</v>
      </c>
      <c r="R80" s="43">
        <f t="shared" si="10"/>
        <v>0.17495933494478316</v>
      </c>
      <c r="T80" s="43">
        <f t="shared" si="7"/>
        <v>8.0468646567392638E-2</v>
      </c>
      <c r="U80" s="43"/>
      <c r="V80" s="43">
        <f t="shared" si="11"/>
        <v>7.9182754451210063E-2</v>
      </c>
      <c r="X80" s="43">
        <v>3.1956582589494076E-2</v>
      </c>
      <c r="Y80" s="43"/>
      <c r="Z80" s="43">
        <f t="shared" si="12"/>
        <v>3.0670690473311505E-2</v>
      </c>
    </row>
    <row r="81" spans="12:26">
      <c r="L81" s="47">
        <v>-1.6368543737402534E-2</v>
      </c>
      <c r="M81" s="43">
        <v>-3.5644509694975089E-2</v>
      </c>
      <c r="N81" s="43">
        <v>-6.6232318583136121E-2</v>
      </c>
      <c r="P81" s="43">
        <f t="shared" si="8"/>
        <v>-1.7654435853585105E-2</v>
      </c>
      <c r="Q81" s="43">
        <f t="shared" si="9"/>
        <v>-3.6930401811157663E-2</v>
      </c>
      <c r="R81" s="43">
        <f t="shared" si="10"/>
        <v>-6.7518210699318695E-2</v>
      </c>
      <c r="T81" s="43">
        <f t="shared" si="7"/>
        <v>-4.0462845080190948E-2</v>
      </c>
      <c r="U81" s="43"/>
      <c r="V81" s="43">
        <f t="shared" si="11"/>
        <v>-4.1748737196373523E-2</v>
      </c>
      <c r="X81" s="43">
        <v>-1.0473018791158362E-3</v>
      </c>
      <c r="Y81" s="43"/>
      <c r="Z81" s="43">
        <f t="shared" si="12"/>
        <v>-2.3331939952984078E-3</v>
      </c>
    </row>
    <row r="82" spans="12:26">
      <c r="L82" s="47">
        <v>4.5762584443198827E-2</v>
      </c>
      <c r="M82" s="43">
        <v>0.10919833283887131</v>
      </c>
      <c r="N82" s="43">
        <v>5.8139532304828899E-2</v>
      </c>
      <c r="P82" s="43">
        <f t="shared" si="8"/>
        <v>4.4476692327016253E-2</v>
      </c>
      <c r="Q82" s="43">
        <f t="shared" si="9"/>
        <v>0.10791244072268874</v>
      </c>
      <c r="R82" s="43">
        <f t="shared" si="10"/>
        <v>5.6853640188646325E-2</v>
      </c>
      <c r="T82" s="43">
        <f t="shared" si="7"/>
        <v>7.8958278107692861E-2</v>
      </c>
      <c r="U82" s="43"/>
      <c r="V82" s="43">
        <f t="shared" si="11"/>
        <v>7.7672385991510287E-2</v>
      </c>
      <c r="X82" s="43">
        <v>2.8495357625034856E-2</v>
      </c>
      <c r="Y82" s="43"/>
      <c r="Z82" s="43">
        <f t="shared" si="12"/>
        <v>2.7209465508852285E-2</v>
      </c>
    </row>
    <row r="83" spans="12:26">
      <c r="L83" s="47">
        <v>-5.1261672700027704E-2</v>
      </c>
      <c r="M83" s="43">
        <v>2.3889221936435955E-2</v>
      </c>
      <c r="N83" s="43">
        <v>-4.6153852603038219E-2</v>
      </c>
      <c r="P83" s="43">
        <f t="shared" si="8"/>
        <v>-5.2547564816210278E-2</v>
      </c>
      <c r="Q83" s="43">
        <f t="shared" si="9"/>
        <v>2.2603329820253384E-2</v>
      </c>
      <c r="R83" s="43">
        <f t="shared" si="10"/>
        <v>-4.7439744719220793E-2</v>
      </c>
      <c r="T83" s="43">
        <f t="shared" si="7"/>
        <v>-1.4838507590778408E-2</v>
      </c>
      <c r="U83" s="43"/>
      <c r="V83" s="43">
        <f t="shared" si="11"/>
        <v>-1.612439970696098E-2</v>
      </c>
      <c r="X83" s="43">
        <v>-1.350092768460176E-2</v>
      </c>
      <c r="Y83" s="43"/>
      <c r="Z83" s="43">
        <f t="shared" si="12"/>
        <v>-1.4786819800784331E-2</v>
      </c>
    </row>
    <row r="84" spans="12:26">
      <c r="L84" s="47">
        <v>-2.503898330801475E-2</v>
      </c>
      <c r="M84" s="43">
        <v>-1.1443071213917267E-2</v>
      </c>
      <c r="N84" s="43">
        <v>-0.19470051551149023</v>
      </c>
      <c r="P84" s="43">
        <f t="shared" si="8"/>
        <v>-2.6324875424197321E-2</v>
      </c>
      <c r="Q84" s="43">
        <f t="shared" si="9"/>
        <v>-1.2728963330099837E-2</v>
      </c>
      <c r="R84" s="43">
        <f t="shared" si="10"/>
        <v>-0.1959864076276728</v>
      </c>
      <c r="T84" s="43">
        <f t="shared" si="7"/>
        <v>-7.0277900944982236E-2</v>
      </c>
      <c r="U84" s="43"/>
      <c r="V84" s="43">
        <f t="shared" si="11"/>
        <v>-7.156379306116481E-2</v>
      </c>
      <c r="X84" s="43">
        <v>-1.8257508177222714E-2</v>
      </c>
      <c r="Y84" s="43"/>
      <c r="Z84" s="43">
        <f t="shared" si="12"/>
        <v>-1.9543400293405285E-2</v>
      </c>
    </row>
    <row r="85" spans="12:26">
      <c r="L85" s="47">
        <v>-1.9537925676494722E-2</v>
      </c>
      <c r="M85" s="43">
        <v>-2.6007152959160371E-2</v>
      </c>
      <c r="N85" s="43">
        <v>5.0071586971416782E-2</v>
      </c>
      <c r="P85" s="43">
        <f t="shared" si="8"/>
        <v>-2.0823817792677293E-2</v>
      </c>
      <c r="Q85" s="43">
        <f t="shared" si="9"/>
        <v>-2.7293045075342942E-2</v>
      </c>
      <c r="R85" s="43">
        <f t="shared" si="10"/>
        <v>4.8785694855234207E-2</v>
      </c>
      <c r="T85" s="43">
        <f t="shared" si="7"/>
        <v>-1.3905494983497881E-3</v>
      </c>
      <c r="U85" s="43"/>
      <c r="V85" s="43">
        <f t="shared" si="11"/>
        <v>-2.6764416145323598E-3</v>
      </c>
      <c r="X85" s="43">
        <v>-2.147443663678239E-2</v>
      </c>
      <c r="Y85" s="43"/>
      <c r="Z85" s="43">
        <f t="shared" si="12"/>
        <v>-2.2760328752964961E-2</v>
      </c>
    </row>
    <row r="86" spans="12:26">
      <c r="L86" s="47">
        <v>-7.2314879135915375E-2</v>
      </c>
      <c r="M86" s="43">
        <v>1.5588858187350561E-2</v>
      </c>
      <c r="N86" s="43">
        <v>-6.9482318566713289E-2</v>
      </c>
      <c r="P86" s="43">
        <f t="shared" si="8"/>
        <v>-7.3600771252097949E-2</v>
      </c>
      <c r="Q86" s="43">
        <f t="shared" si="9"/>
        <v>1.430296607116799E-2</v>
      </c>
      <c r="R86" s="43">
        <f t="shared" si="10"/>
        <v>-7.0768210682895863E-2</v>
      </c>
      <c r="T86" s="43">
        <f t="shared" si="7"/>
        <v>-3.066546514362168E-2</v>
      </c>
      <c r="U86" s="43"/>
      <c r="V86" s="43">
        <f t="shared" si="11"/>
        <v>-3.1951357259804254E-2</v>
      </c>
      <c r="X86" s="43">
        <v>-5.6791097904478671E-2</v>
      </c>
      <c r="Y86" s="43"/>
      <c r="Z86" s="43">
        <f t="shared" si="12"/>
        <v>-5.8076990020661245E-2</v>
      </c>
    </row>
    <row r="87" spans="12:26">
      <c r="L87" s="47">
        <v>-1.8778701063054445E-2</v>
      </c>
      <c r="M87" s="43">
        <v>-3.2066935063652102E-2</v>
      </c>
      <c r="N87" s="43">
        <v>-0.25622255044630005</v>
      </c>
      <c r="P87" s="43">
        <f t="shared" si="8"/>
        <v>-2.0064593179237016E-2</v>
      </c>
      <c r="Q87" s="43">
        <f t="shared" si="9"/>
        <v>-3.3352827179834676E-2</v>
      </c>
      <c r="R87" s="43">
        <f t="shared" si="10"/>
        <v>-0.25750844256248262</v>
      </c>
      <c r="T87" s="43">
        <f t="shared" si="7"/>
        <v>-9.7086368944535539E-2</v>
      </c>
      <c r="U87" s="43"/>
      <c r="V87" s="43">
        <f t="shared" si="11"/>
        <v>-9.8372261060718114E-2</v>
      </c>
      <c r="X87" s="43">
        <v>-7.1762012979021961E-2</v>
      </c>
      <c r="Y87" s="43"/>
      <c r="Z87" s="43">
        <f t="shared" si="12"/>
        <v>-7.3047905095204535E-2</v>
      </c>
    </row>
    <row r="88" spans="12:26">
      <c r="L88" s="47">
        <v>7.517553753199005E-2</v>
      </c>
      <c r="M88" s="43">
        <v>1.099074859527319E-2</v>
      </c>
      <c r="N88" s="43">
        <v>0.1476377974928878</v>
      </c>
      <c r="P88" s="43">
        <f t="shared" si="8"/>
        <v>7.3889645415807476E-2</v>
      </c>
      <c r="Q88" s="43">
        <f t="shared" si="9"/>
        <v>9.7048564790906192E-3</v>
      </c>
      <c r="R88" s="43">
        <f t="shared" si="10"/>
        <v>0.14635190537670523</v>
      </c>
      <c r="T88" s="43">
        <f t="shared" si="7"/>
        <v>6.7408665677426316E-2</v>
      </c>
      <c r="U88" s="43"/>
      <c r="V88" s="43">
        <f t="shared" si="11"/>
        <v>6.6122773561243742E-2</v>
      </c>
      <c r="X88" s="43">
        <v>0.10772303830584562</v>
      </c>
      <c r="Y88" s="43"/>
      <c r="Z88" s="43">
        <f t="shared" si="12"/>
        <v>0.10643714618966305</v>
      </c>
    </row>
    <row r="89" spans="12:26">
      <c r="L89" s="47">
        <v>3.0093561451165814E-2</v>
      </c>
      <c r="M89" s="43">
        <v>5.1250478984744292E-3</v>
      </c>
      <c r="N89" s="43">
        <v>-2.4013699539913478E-2</v>
      </c>
      <c r="P89" s="43">
        <f t="shared" si="8"/>
        <v>2.8807669334983244E-2</v>
      </c>
      <c r="Q89" s="43">
        <f t="shared" si="9"/>
        <v>3.8391557822918575E-3</v>
      </c>
      <c r="R89" s="43">
        <f t="shared" si="10"/>
        <v>-2.5299591656096049E-2</v>
      </c>
      <c r="T89" s="43">
        <f t="shared" si="7"/>
        <v>2.0685395946005566E-3</v>
      </c>
      <c r="U89" s="43"/>
      <c r="V89" s="43">
        <f t="shared" si="11"/>
        <v>7.8264747841798516E-4</v>
      </c>
      <c r="X89" s="43">
        <v>-5.0586451767333784E-3</v>
      </c>
      <c r="Y89" s="43"/>
      <c r="Z89" s="43">
        <f t="shared" si="12"/>
        <v>-6.3445372929159501E-3</v>
      </c>
    </row>
    <row r="90" spans="12:26">
      <c r="L90" s="47">
        <v>5.3704619141091821E-2</v>
      </c>
      <c r="M90" s="43">
        <v>1.3288019068770644E-2</v>
      </c>
      <c r="N90" s="43">
        <v>-5.0966600867608972E-2</v>
      </c>
      <c r="P90" s="43">
        <f t="shared" si="8"/>
        <v>5.2418727024909247E-2</v>
      </c>
      <c r="Q90" s="43">
        <f t="shared" si="9"/>
        <v>1.2002126952588073E-2</v>
      </c>
      <c r="R90" s="43">
        <f t="shared" si="10"/>
        <v>-5.2252492983791546E-2</v>
      </c>
      <c r="T90" s="43">
        <f t="shared" si="7"/>
        <v>3.1487617353542809E-3</v>
      </c>
      <c r="U90" s="43"/>
      <c r="V90" s="43">
        <f t="shared" si="11"/>
        <v>1.8628696191717094E-3</v>
      </c>
      <c r="X90" s="43">
        <v>8.5327516520175006E-3</v>
      </c>
      <c r="Y90" s="43"/>
      <c r="Z90" s="43">
        <f t="shared" si="12"/>
        <v>7.246859535834929E-3</v>
      </c>
    </row>
    <row r="91" spans="12:26">
      <c r="L91" s="47">
        <v>-1.2034028394920709E-2</v>
      </c>
      <c r="M91" s="43">
        <v>5.0320497383459784E-3</v>
      </c>
      <c r="N91" s="43">
        <v>0.2425925777118722</v>
      </c>
      <c r="P91" s="43">
        <f t="shared" si="8"/>
        <v>-1.331992051110328E-2</v>
      </c>
      <c r="Q91" s="43">
        <f t="shared" si="9"/>
        <v>3.7461576221634067E-3</v>
      </c>
      <c r="R91" s="43">
        <f t="shared" si="10"/>
        <v>0.24130668559568963</v>
      </c>
      <c r="T91" s="43">
        <f t="shared" si="7"/>
        <v>7.3247197209590734E-2</v>
      </c>
      <c r="U91" s="43"/>
      <c r="V91" s="43">
        <f t="shared" si="11"/>
        <v>7.1961305093408159E-2</v>
      </c>
      <c r="X91" s="43">
        <v>4.3583015267175673E-2</v>
      </c>
      <c r="Y91" s="43"/>
      <c r="Z91" s="43">
        <f t="shared" si="12"/>
        <v>4.2297123150993099E-2</v>
      </c>
    </row>
    <row r="92" spans="12:26">
      <c r="L92" s="47">
        <v>3.2959185653676684E-2</v>
      </c>
      <c r="M92" s="43">
        <v>-1.2592956834135976E-2</v>
      </c>
      <c r="N92" s="43">
        <v>9.538000936619033E-2</v>
      </c>
      <c r="P92" s="43">
        <f t="shared" si="8"/>
        <v>3.167329353749411E-2</v>
      </c>
      <c r="Q92" s="43">
        <f t="shared" si="9"/>
        <v>-1.3878848950318547E-2</v>
      </c>
      <c r="R92" s="43">
        <f t="shared" si="10"/>
        <v>9.4094117250007756E-2</v>
      </c>
      <c r="T92" s="43">
        <f t="shared" si="7"/>
        <v>3.0787320833367261E-2</v>
      </c>
      <c r="U92" s="43"/>
      <c r="V92" s="43">
        <f t="shared" si="11"/>
        <v>2.950142871718469E-2</v>
      </c>
      <c r="X92" s="43">
        <v>4.0589449943234213E-2</v>
      </c>
      <c r="Y92" s="43"/>
      <c r="Z92" s="43">
        <f t="shared" si="12"/>
        <v>3.9303557827051638E-2</v>
      </c>
    </row>
    <row r="93" spans="12:26">
      <c r="L93" s="47">
        <v>2.6589983460531068E-3</v>
      </c>
      <c r="M93" s="43">
        <v>1.3521776715716903E-2</v>
      </c>
      <c r="N93" s="43">
        <v>9.1156539023737215E-2</v>
      </c>
      <c r="P93" s="43">
        <f t="shared" si="8"/>
        <v>1.3731062298705354E-3</v>
      </c>
      <c r="Q93" s="43">
        <f t="shared" si="9"/>
        <v>1.2235884599534333E-2</v>
      </c>
      <c r="R93" s="43">
        <f t="shared" si="10"/>
        <v>8.9870646907554641E-2</v>
      </c>
      <c r="T93" s="43">
        <f t="shared" si="7"/>
        <v>3.4587396762197693E-2</v>
      </c>
      <c r="U93" s="43"/>
      <c r="V93" s="43">
        <f t="shared" si="11"/>
        <v>3.3301504646015119E-2</v>
      </c>
      <c r="X93" s="43">
        <v>3.1332376545017748E-2</v>
      </c>
      <c r="Y93" s="43"/>
      <c r="Z93" s="43">
        <f t="shared" si="12"/>
        <v>3.0046484428835177E-2</v>
      </c>
    </row>
    <row r="94" spans="12:26">
      <c r="L94" s="47">
        <v>-4.4967946955785489E-3</v>
      </c>
      <c r="M94" s="43">
        <v>-1.3038214407040696E-2</v>
      </c>
      <c r="N94" s="43">
        <v>-8.2294300072060678E-2</v>
      </c>
      <c r="P94" s="43">
        <f t="shared" si="8"/>
        <v>-5.7826868117611206E-3</v>
      </c>
      <c r="Q94" s="43">
        <f t="shared" si="9"/>
        <v>-1.4324106523223266E-2</v>
      </c>
      <c r="R94" s="43">
        <f t="shared" si="10"/>
        <v>-8.3580192188243252E-2</v>
      </c>
      <c r="T94" s="43">
        <f t="shared" si="7"/>
        <v>-3.2097090824886799E-2</v>
      </c>
      <c r="U94" s="43"/>
      <c r="V94" s="43">
        <f t="shared" si="11"/>
        <v>-3.3382982941069374E-2</v>
      </c>
      <c r="X94" s="43">
        <v>-7.497497284287058E-3</v>
      </c>
      <c r="Y94" s="43"/>
      <c r="Z94" s="43">
        <f t="shared" si="12"/>
        <v>-8.7833894004696288E-3</v>
      </c>
    </row>
    <row r="95" spans="12:26">
      <c r="L95" s="47">
        <v>-8.9298116880844658E-2</v>
      </c>
      <c r="M95" s="43">
        <v>-4.1013797719314918E-2</v>
      </c>
      <c r="N95" s="43">
        <v>-0.17391306882995242</v>
      </c>
      <c r="P95" s="43">
        <f t="shared" si="8"/>
        <v>-9.0584008997027232E-2</v>
      </c>
      <c r="Q95" s="43">
        <f t="shared" si="9"/>
        <v>-4.2299689835497492E-2</v>
      </c>
      <c r="R95" s="43">
        <f t="shared" si="10"/>
        <v>-0.17519896094613499</v>
      </c>
      <c r="T95" s="43">
        <f t="shared" si="7"/>
        <v>-9.2601637874761222E-2</v>
      </c>
      <c r="U95" s="43"/>
      <c r="V95" s="43">
        <f t="shared" si="11"/>
        <v>-9.3887529990943797E-2</v>
      </c>
      <c r="X95" s="43">
        <v>-6.2650671359386623E-2</v>
      </c>
      <c r="Y95" s="43"/>
      <c r="Z95" s="43">
        <f t="shared" si="12"/>
        <v>-6.3936563475569197E-2</v>
      </c>
    </row>
    <row r="96" spans="12:26">
      <c r="L96" s="47">
        <v>8.8261511939765142E-2</v>
      </c>
      <c r="M96" s="43">
        <v>8.2171988280331065E-2</v>
      </c>
      <c r="N96" s="43">
        <v>-5.7565774510606647E-2</v>
      </c>
      <c r="P96" s="43">
        <f t="shared" si="8"/>
        <v>8.6975619823582567E-2</v>
      </c>
      <c r="Q96" s="43">
        <f t="shared" si="9"/>
        <v>8.0886096164148491E-2</v>
      </c>
      <c r="R96" s="43">
        <f t="shared" si="10"/>
        <v>-5.8851666626789222E-2</v>
      </c>
      <c r="T96" s="43">
        <f t="shared" si="7"/>
        <v>4.1129694732640824E-2</v>
      </c>
      <c r="U96" s="43"/>
      <c r="V96" s="43">
        <f t="shared" si="11"/>
        <v>3.984380261645825E-2</v>
      </c>
      <c r="X96" s="43">
        <v>3.9554921279372435E-2</v>
      </c>
      <c r="Y96" s="43"/>
      <c r="Z96" s="43">
        <f t="shared" si="12"/>
        <v>3.826902916318986E-2</v>
      </c>
    </row>
    <row r="97" spans="12:26">
      <c r="L97" s="47">
        <v>1.4958499285518834E-2</v>
      </c>
      <c r="M97" s="43">
        <v>2.4570807017417064E-2</v>
      </c>
      <c r="N97" s="43">
        <v>-0.29144852892408479</v>
      </c>
      <c r="P97" s="43">
        <f t="shared" si="8"/>
        <v>1.3672607169336264E-2</v>
      </c>
      <c r="Q97" s="43">
        <f t="shared" si="9"/>
        <v>2.3284914901234494E-2</v>
      </c>
      <c r="R97" s="43">
        <f t="shared" si="10"/>
        <v>-0.29273442104026737</v>
      </c>
      <c r="T97" s="43">
        <f t="shared" si="7"/>
        <v>-7.3675766218614783E-2</v>
      </c>
      <c r="U97" s="43"/>
      <c r="V97" s="43">
        <f t="shared" si="11"/>
        <v>-7.4961658334797357E-2</v>
      </c>
      <c r="X97" s="43">
        <v>1.2597639043871345E-2</v>
      </c>
      <c r="Y97" s="43"/>
      <c r="Z97" s="43">
        <f t="shared" si="12"/>
        <v>1.1311746927688774E-2</v>
      </c>
    </row>
    <row r="98" spans="12:26">
      <c r="L98" s="47">
        <v>5.1813999486805713E-3</v>
      </c>
      <c r="M98" s="43">
        <v>-2.585959092690639E-2</v>
      </c>
      <c r="N98" s="43">
        <v>-8.3743822404229423E-2</v>
      </c>
      <c r="P98" s="43">
        <f t="shared" si="8"/>
        <v>3.8955078324979997E-3</v>
      </c>
      <c r="Q98" s="43">
        <f t="shared" si="9"/>
        <v>-2.7145483043088961E-2</v>
      </c>
      <c r="R98" s="43">
        <f t="shared" si="10"/>
        <v>-8.5029714520411998E-2</v>
      </c>
      <c r="T98" s="43">
        <f t="shared" si="7"/>
        <v>-3.6239968229086011E-2</v>
      </c>
      <c r="U98" s="43"/>
      <c r="V98" s="43">
        <f t="shared" si="11"/>
        <v>-3.7525860345268586E-2</v>
      </c>
      <c r="X98" s="43">
        <v>1.9763361656468303E-2</v>
      </c>
      <c r="Y98" s="43"/>
      <c r="Z98" s="43">
        <f t="shared" si="12"/>
        <v>1.8477469540285733E-2</v>
      </c>
    </row>
    <row r="99" spans="12:26">
      <c r="L99" s="47">
        <v>4.7537156373568E-2</v>
      </c>
      <c r="M99" s="43">
        <v>2.1948737212448031E-2</v>
      </c>
      <c r="N99" s="43">
        <v>-9.4086059236377348E-2</v>
      </c>
      <c r="P99" s="43">
        <f t="shared" si="8"/>
        <v>4.6251264257385426E-2</v>
      </c>
      <c r="Q99" s="43">
        <f t="shared" si="9"/>
        <v>2.066284509626546E-2</v>
      </c>
      <c r="R99" s="43">
        <f t="shared" si="10"/>
        <v>-9.5371951352559922E-2</v>
      </c>
      <c r="T99" s="43">
        <f t="shared" si="7"/>
        <v>-7.3651675320502326E-3</v>
      </c>
      <c r="U99" s="43"/>
      <c r="V99" s="43">
        <f t="shared" si="11"/>
        <v>-8.6510596482328034E-3</v>
      </c>
      <c r="X99" s="43">
        <v>2.4236090375236552E-2</v>
      </c>
      <c r="Y99" s="43"/>
      <c r="Z99" s="43">
        <f t="shared" si="12"/>
        <v>2.2950198259053981E-2</v>
      </c>
    </row>
    <row r="100" spans="12:26">
      <c r="L100" s="47">
        <v>-3.0617691486129351E-3</v>
      </c>
      <c r="M100" s="43">
        <v>2.7717253391543031E-2</v>
      </c>
      <c r="N100" s="43">
        <v>-0.39169138815083676</v>
      </c>
      <c r="P100" s="43">
        <f t="shared" si="8"/>
        <v>-4.3476612647955068E-3</v>
      </c>
      <c r="Q100" s="43">
        <f t="shared" si="9"/>
        <v>2.6431361275360461E-2</v>
      </c>
      <c r="R100" s="43">
        <f t="shared" si="10"/>
        <v>-0.39297728026701934</v>
      </c>
      <c r="T100" s="43">
        <f t="shared" si="7"/>
        <v>-0.10685571613126961</v>
      </c>
      <c r="U100" s="43"/>
      <c r="V100" s="43">
        <f t="shared" si="11"/>
        <v>-0.10814160824745218</v>
      </c>
      <c r="X100" s="43">
        <v>-1.9789403541407791E-2</v>
      </c>
      <c r="Y100" s="43"/>
      <c r="Z100" s="43">
        <f t="shared" si="12"/>
        <v>-2.1075295657590361E-2</v>
      </c>
    </row>
    <row r="101" spans="12:26">
      <c r="L101" s="47">
        <v>-3.3234603928389297E-2</v>
      </c>
      <c r="M101" s="43">
        <v>-1.5391080804682437E-2</v>
      </c>
      <c r="N101" s="43">
        <v>7.3170779929993324E-2</v>
      </c>
      <c r="P101" s="43">
        <f t="shared" si="8"/>
        <v>-3.4520496044571872E-2</v>
      </c>
      <c r="Q101" s="43">
        <f t="shared" si="9"/>
        <v>-1.6676972920865007E-2</v>
      </c>
      <c r="R101" s="43">
        <f t="shared" si="10"/>
        <v>7.1884887813810749E-2</v>
      </c>
      <c r="T101" s="43">
        <f t="shared" si="7"/>
        <v>7.3738521709778241E-3</v>
      </c>
      <c r="U101" s="43"/>
      <c r="V101" s="43">
        <f t="shared" si="11"/>
        <v>6.0879600547952524E-3</v>
      </c>
      <c r="X101" s="43">
        <v>2.8467029231815655E-3</v>
      </c>
      <c r="Y101" s="43"/>
      <c r="Z101" s="43">
        <f t="shared" si="12"/>
        <v>1.560810806998994E-3</v>
      </c>
    </row>
    <row r="102" spans="12:26">
      <c r="L102" s="47">
        <v>-1.8039441217393079E-2</v>
      </c>
      <c r="M102" s="43">
        <v>5.3061107037894557E-3</v>
      </c>
      <c r="N102" s="43">
        <v>9.090911061310529E-2</v>
      </c>
      <c r="P102" s="43">
        <f t="shared" si="8"/>
        <v>-1.932533333357565E-2</v>
      </c>
      <c r="Q102" s="43">
        <f t="shared" si="9"/>
        <v>4.020218587606884E-3</v>
      </c>
      <c r="R102" s="43">
        <f t="shared" si="10"/>
        <v>8.9623218496922716E-2</v>
      </c>
      <c r="T102" s="43">
        <f t="shared" si="7"/>
        <v>2.5894729969556485E-2</v>
      </c>
      <c r="U102" s="43"/>
      <c r="V102" s="43">
        <f t="shared" si="11"/>
        <v>2.4608837853373915E-2</v>
      </c>
      <c r="X102" s="43">
        <v>7.0683105254980561E-3</v>
      </c>
      <c r="Y102" s="43"/>
      <c r="Z102" s="43">
        <f t="shared" si="12"/>
        <v>5.7824184093154844E-3</v>
      </c>
    </row>
    <row r="103" spans="12:26">
      <c r="L103" s="47">
        <v>3.9514708819826584E-2</v>
      </c>
      <c r="M103" s="43">
        <v>5.4493577431880443E-2</v>
      </c>
      <c r="N103" s="43">
        <v>8.3333250549107771E-2</v>
      </c>
      <c r="P103" s="43">
        <f t="shared" si="8"/>
        <v>3.822881670364401E-2</v>
      </c>
      <c r="Q103" s="43">
        <f t="shared" si="9"/>
        <v>5.3207685315697868E-2</v>
      </c>
      <c r="R103" s="43">
        <f t="shared" si="10"/>
        <v>8.2047358432925196E-2</v>
      </c>
      <c r="T103" s="43">
        <f t="shared" si="7"/>
        <v>5.9778383697022229E-2</v>
      </c>
      <c r="U103" s="43"/>
      <c r="V103" s="43">
        <f t="shared" si="11"/>
        <v>5.8492491580839655E-2</v>
      </c>
      <c r="X103" s="43">
        <v>5.0428063581991145E-2</v>
      </c>
      <c r="Y103" s="43"/>
      <c r="Z103" s="43">
        <f t="shared" si="12"/>
        <v>4.9142171465808571E-2</v>
      </c>
    </row>
    <row r="104" spans="12:26">
      <c r="L104" s="47">
        <v>-4.6682023257399504E-3</v>
      </c>
      <c r="M104" s="43">
        <v>2.9626657138180187E-2</v>
      </c>
      <c r="N104" s="43">
        <v>-4.2307653511768246E-2</v>
      </c>
      <c r="P104" s="43">
        <f t="shared" si="8"/>
        <v>-5.9540944419225221E-3</v>
      </c>
      <c r="Q104" s="43">
        <f t="shared" si="9"/>
        <v>2.8340765021997616E-2</v>
      </c>
      <c r="R104" s="43">
        <f t="shared" si="10"/>
        <v>-4.3593545627950821E-2</v>
      </c>
      <c r="T104" s="43">
        <f t="shared" si="7"/>
        <v>-1.9067085754326078E-4</v>
      </c>
      <c r="U104" s="43"/>
      <c r="V104" s="43">
        <f t="shared" si="11"/>
        <v>-1.4765629737258322E-3</v>
      </c>
      <c r="X104" s="43">
        <v>1.1060603026480154E-2</v>
      </c>
      <c r="Y104" s="43"/>
      <c r="Z104" s="43">
        <f t="shared" si="12"/>
        <v>9.7747109102975828E-3</v>
      </c>
    </row>
    <row r="105" spans="12:26">
      <c r="L105" s="47">
        <v>6.2534621944131535E-3</v>
      </c>
      <c r="M105" s="43">
        <v>7.1212693804763277E-2</v>
      </c>
      <c r="N105" s="43">
        <v>2.409636246977518E-2</v>
      </c>
      <c r="P105" s="43">
        <f t="shared" si="8"/>
        <v>4.9675700782305819E-3</v>
      </c>
      <c r="Q105" s="43">
        <f t="shared" si="9"/>
        <v>6.9926801688580703E-2</v>
      </c>
      <c r="R105" s="43">
        <f t="shared" si="10"/>
        <v>2.2810470353592609E-2</v>
      </c>
      <c r="T105" s="43">
        <f t="shared" si="7"/>
        <v>4.1816778124887155E-2</v>
      </c>
      <c r="U105" s="43"/>
      <c r="V105" s="43">
        <f t="shared" si="11"/>
        <v>4.0530886008704581E-2</v>
      </c>
      <c r="X105" s="43">
        <v>3.5987799403174314E-2</v>
      </c>
      <c r="Y105" s="43"/>
      <c r="Z105" s="43">
        <f t="shared" si="12"/>
        <v>3.470190728699174E-2</v>
      </c>
    </row>
    <row r="106" spans="12:26">
      <c r="L106" s="47">
        <v>-1.2429283531192971E-2</v>
      </c>
      <c r="M106" s="43">
        <v>4.5382124776583099E-2</v>
      </c>
      <c r="N106" s="43">
        <v>0.10588234744132448</v>
      </c>
      <c r="P106" s="43">
        <f t="shared" si="8"/>
        <v>-1.3715175647375542E-2</v>
      </c>
      <c r="Q106" s="43">
        <f t="shared" si="9"/>
        <v>4.4096232660400525E-2</v>
      </c>
      <c r="R106" s="43">
        <f t="shared" si="10"/>
        <v>0.1045964553251419</v>
      </c>
      <c r="T106" s="43">
        <f t="shared" si="7"/>
        <v>5.0342373080509574E-2</v>
      </c>
      <c r="U106" s="43"/>
      <c r="V106" s="43">
        <f t="shared" si="11"/>
        <v>4.9056480964327E-2</v>
      </c>
      <c r="X106" s="43">
        <v>1.8085763992887971E-2</v>
      </c>
      <c r="Y106" s="43"/>
      <c r="Z106" s="43">
        <f t="shared" si="12"/>
        <v>1.67998718767054E-2</v>
      </c>
    </row>
    <row r="107" spans="12:26">
      <c r="L107" s="47">
        <v>1.6631120265889421E-2</v>
      </c>
      <c r="M107" s="43">
        <v>-1.2319641093530394E-2</v>
      </c>
      <c r="N107" s="43">
        <v>0.41843974989045002</v>
      </c>
      <c r="P107" s="43">
        <f t="shared" si="8"/>
        <v>1.534522814970685E-2</v>
      </c>
      <c r="Q107" s="43">
        <f t="shared" si="9"/>
        <v>-1.3605533209712965E-2</v>
      </c>
      <c r="R107" s="43">
        <f t="shared" si="10"/>
        <v>0.41715385777426744</v>
      </c>
      <c r="T107" s="43">
        <f t="shared" si="7"/>
        <v>0.12527754213307679</v>
      </c>
      <c r="U107" s="43"/>
      <c r="V107" s="43">
        <f t="shared" si="11"/>
        <v>0.12399165001689422</v>
      </c>
      <c r="X107" s="43">
        <v>2.0762783477406455E-2</v>
      </c>
      <c r="Y107" s="43"/>
      <c r="Z107" s="43">
        <f t="shared" si="12"/>
        <v>1.9476891361223884E-2</v>
      </c>
    </row>
    <row r="108" spans="12:26">
      <c r="L108" s="47">
        <v>-1.3264368847446181E-3</v>
      </c>
      <c r="M108" s="43">
        <v>1.9957238050431404E-2</v>
      </c>
      <c r="N108" s="43">
        <v>1.9999980926513672E-2</v>
      </c>
      <c r="P108" s="43">
        <f t="shared" si="8"/>
        <v>-2.6123290009271898E-3</v>
      </c>
      <c r="Q108" s="43">
        <f t="shared" si="9"/>
        <v>1.8671345934248833E-2</v>
      </c>
      <c r="R108" s="43">
        <f t="shared" si="10"/>
        <v>1.8714088810331101E-2</v>
      </c>
      <c r="T108" s="43">
        <f t="shared" si="7"/>
        <v>1.5029073264090058E-2</v>
      </c>
      <c r="U108" s="43"/>
      <c r="V108" s="43">
        <f t="shared" si="11"/>
        <v>1.3743181147907487E-2</v>
      </c>
      <c r="X108" s="43">
        <v>-1.499932545960736E-2</v>
      </c>
      <c r="Y108" s="43"/>
      <c r="Z108" s="43">
        <f t="shared" si="12"/>
        <v>-1.6285217575789931E-2</v>
      </c>
    </row>
    <row r="109" spans="12:26">
      <c r="L109" s="47">
        <v>3.7631450838958976E-2</v>
      </c>
      <c r="M109" s="43">
        <v>8.8982056083602379E-2</v>
      </c>
      <c r="N109" s="43">
        <v>-7.5980379553035285E-2</v>
      </c>
      <c r="P109" s="43">
        <f t="shared" si="8"/>
        <v>3.6345558722776401E-2</v>
      </c>
      <c r="Q109" s="43">
        <f t="shared" si="9"/>
        <v>8.7696163967419805E-2</v>
      </c>
      <c r="R109" s="43">
        <f t="shared" si="10"/>
        <v>-7.7266271669217859E-2</v>
      </c>
      <c r="T109" s="43">
        <f t="shared" si="7"/>
        <v>2.6940721444832311E-2</v>
      </c>
      <c r="U109" s="43"/>
      <c r="V109" s="43">
        <f t="shared" si="11"/>
        <v>2.565482932864974E-2</v>
      </c>
      <c r="X109" s="43">
        <v>4.9462111213487203E-2</v>
      </c>
      <c r="Y109" s="43"/>
      <c r="Z109" s="43">
        <f t="shared" si="12"/>
        <v>4.8176219097304629E-2</v>
      </c>
    </row>
    <row r="110" spans="12:26">
      <c r="L110" s="47">
        <v>-7.0293294270833334E-2</v>
      </c>
      <c r="M110" s="43">
        <v>-7.5828837838402413E-2</v>
      </c>
      <c r="N110" s="43">
        <v>-0.13262599536595229</v>
      </c>
      <c r="P110" s="43">
        <f t="shared" si="8"/>
        <v>-7.1579186387015908E-2</v>
      </c>
      <c r="Q110" s="43">
        <f t="shared" si="9"/>
        <v>-7.7114729954584987E-2</v>
      </c>
      <c r="R110" s="43">
        <f t="shared" si="10"/>
        <v>-0.13391188748213487</v>
      </c>
      <c r="T110" s="43">
        <f t="shared" si="7"/>
        <v>-9.1800198029075658E-2</v>
      </c>
      <c r="U110" s="43"/>
      <c r="V110" s="43">
        <f t="shared" si="11"/>
        <v>-9.3086090145258232E-2</v>
      </c>
      <c r="X110" s="43">
        <v>-3.1298013323604712E-2</v>
      </c>
      <c r="Y110" s="43"/>
      <c r="Z110" s="43">
        <f t="shared" si="12"/>
        <v>-3.2583905439787286E-2</v>
      </c>
    </row>
    <row r="111" spans="12:26">
      <c r="L111" s="47">
        <v>-1.2849962133135205E-2</v>
      </c>
      <c r="M111" s="43">
        <v>3.2403514342130963E-3</v>
      </c>
      <c r="N111" s="43">
        <v>0.16513760397638447</v>
      </c>
      <c r="P111" s="43">
        <f t="shared" si="8"/>
        <v>-1.4135854249317776E-2</v>
      </c>
      <c r="Q111" s="43">
        <f t="shared" si="9"/>
        <v>1.9544593180305251E-3</v>
      </c>
      <c r="R111" s="43">
        <f t="shared" si="10"/>
        <v>0.16385171186020189</v>
      </c>
      <c r="T111" s="43">
        <f t="shared" si="7"/>
        <v>4.8693530468734161E-2</v>
      </c>
      <c r="U111" s="43"/>
      <c r="V111" s="43">
        <f t="shared" si="11"/>
        <v>4.7407638352551587E-2</v>
      </c>
      <c r="X111" s="43">
        <v>2.9749474883188354E-2</v>
      </c>
      <c r="Y111" s="43"/>
      <c r="Z111" s="43">
        <f t="shared" si="12"/>
        <v>2.8463582767005783E-2</v>
      </c>
    </row>
    <row r="112" spans="12:26">
      <c r="L112" s="47">
        <v>4.1608574999545553E-2</v>
      </c>
      <c r="M112" s="43">
        <v>6.8289283680048773E-2</v>
      </c>
      <c r="N112" s="43">
        <v>-0.12335958941441517</v>
      </c>
      <c r="P112" s="43">
        <f t="shared" si="8"/>
        <v>4.0322682883362979E-2</v>
      </c>
      <c r="Q112" s="43">
        <f t="shared" si="9"/>
        <v>6.7003391563866199E-2</v>
      </c>
      <c r="R112" s="43">
        <f t="shared" si="10"/>
        <v>-0.12464548153059775</v>
      </c>
      <c r="T112" s="43">
        <f t="shared" si="7"/>
        <v>3.8671912118694168E-3</v>
      </c>
      <c r="U112" s="43"/>
      <c r="V112" s="43">
        <f t="shared" si="11"/>
        <v>2.5812990956868452E-3</v>
      </c>
      <c r="X112" s="43">
        <v>4.4595759864410889E-2</v>
      </c>
      <c r="Y112" s="43"/>
      <c r="Z112" s="43">
        <f t="shared" si="12"/>
        <v>4.3309867748228315E-2</v>
      </c>
    </row>
    <row r="113" spans="12:26">
      <c r="L113" s="47">
        <v>4.3070748628143474E-2</v>
      </c>
      <c r="M113" s="43">
        <v>2.2135871269270586E-2</v>
      </c>
      <c r="N113" s="43">
        <v>8.9820418695871748E-2</v>
      </c>
      <c r="P113" s="43">
        <f t="shared" si="8"/>
        <v>4.1784856511960899E-2</v>
      </c>
      <c r="Q113" s="43">
        <f t="shared" si="9"/>
        <v>2.0849979153088016E-2</v>
      </c>
      <c r="R113" s="43">
        <f t="shared" si="10"/>
        <v>8.8534526579689174E-2</v>
      </c>
      <c r="T113" s="43">
        <f t="shared" si="7"/>
        <v>4.7560397568855189E-2</v>
      </c>
      <c r="U113" s="43"/>
      <c r="V113" s="43">
        <f t="shared" si="11"/>
        <v>4.6274505452672615E-2</v>
      </c>
      <c r="X113" s="43">
        <v>2.804946087194149E-2</v>
      </c>
      <c r="Y113" s="43"/>
      <c r="Z113" s="43">
        <f t="shared" si="12"/>
        <v>2.6763568755758919E-2</v>
      </c>
    </row>
    <row r="114" spans="12:26">
      <c r="L114" s="47">
        <v>8.2584438533142041E-2</v>
      </c>
      <c r="M114" s="43">
        <v>-3.2431937517953174E-2</v>
      </c>
      <c r="N114" s="43">
        <v>6.3186751106140998E-2</v>
      </c>
      <c r="P114" s="43">
        <f t="shared" si="8"/>
        <v>8.1298546416959466E-2</v>
      </c>
      <c r="Q114" s="43">
        <f t="shared" si="9"/>
        <v>-3.3717829634135749E-2</v>
      </c>
      <c r="R114" s="43">
        <f t="shared" si="10"/>
        <v>6.1900858989958424E-2</v>
      </c>
      <c r="T114" s="43">
        <f t="shared" si="7"/>
        <v>2.3321383281548761E-2</v>
      </c>
      <c r="U114" s="43"/>
      <c r="V114" s="43">
        <f t="shared" si="11"/>
        <v>2.203549116536619E-2</v>
      </c>
      <c r="X114" s="43">
        <v>2.3562833299184183E-2</v>
      </c>
      <c r="Y114" s="43"/>
      <c r="Z114" s="43">
        <f t="shared" si="12"/>
        <v>2.2276941183001612E-2</v>
      </c>
    </row>
    <row r="115" spans="12:26">
      <c r="L115" s="47">
        <v>-8.9327999592294788E-2</v>
      </c>
      <c r="M115" s="43">
        <v>-3.4064802292133767E-2</v>
      </c>
      <c r="N115" s="43">
        <v>-0.11369504698016678</v>
      </c>
      <c r="P115" s="43">
        <f t="shared" si="8"/>
        <v>-9.0613891708477362E-2</v>
      </c>
      <c r="Q115" s="43">
        <f t="shared" si="9"/>
        <v>-3.5350694408316341E-2</v>
      </c>
      <c r="R115" s="43">
        <f t="shared" si="10"/>
        <v>-0.11498093909634935</v>
      </c>
      <c r="T115" s="43">
        <f t="shared" si="7"/>
        <v>-7.1088301575375254E-2</v>
      </c>
      <c r="U115" s="43"/>
      <c r="V115" s="43">
        <f t="shared" si="11"/>
        <v>-7.2374193691557828E-2</v>
      </c>
      <c r="X115" s="43">
        <v>-3.5582895107013846E-2</v>
      </c>
      <c r="Y115" s="43"/>
      <c r="Z115" s="43">
        <f t="shared" si="12"/>
        <v>-3.686878722319642E-2</v>
      </c>
    </row>
    <row r="116" spans="12:26">
      <c r="L116" s="47">
        <v>4.4596276233079317E-2</v>
      </c>
      <c r="M116" s="43">
        <v>4.1256939928975139E-2</v>
      </c>
      <c r="N116" s="43">
        <v>8.1632643131254706E-2</v>
      </c>
      <c r="P116" s="43">
        <f t="shared" si="8"/>
        <v>4.3310384116896743E-2</v>
      </c>
      <c r="Q116" s="43">
        <f t="shared" si="9"/>
        <v>3.9971047812792565E-2</v>
      </c>
      <c r="R116" s="43">
        <f t="shared" si="10"/>
        <v>8.0346751015072132E-2</v>
      </c>
      <c r="T116" s="43">
        <f t="shared" si="7"/>
        <v>5.4299393408033469E-2</v>
      </c>
      <c r="U116" s="43"/>
      <c r="V116" s="43">
        <f t="shared" si="11"/>
        <v>5.3013501291850895E-2</v>
      </c>
      <c r="X116" s="43">
        <v>4.3117037568930705E-2</v>
      </c>
      <c r="Y116" s="43"/>
      <c r="Z116" s="43">
        <f t="shared" si="12"/>
        <v>4.1831145452748131E-2</v>
      </c>
    </row>
    <row r="117" spans="12:26">
      <c r="L117" s="47">
        <v>1.4646345811531996E-2</v>
      </c>
      <c r="M117" s="43">
        <v>6.6326535260315816E-2</v>
      </c>
      <c r="N117" s="43">
        <v>8.0862584272291232E-2</v>
      </c>
      <c r="P117" s="43">
        <f t="shared" si="8"/>
        <v>1.3360453695349425E-2</v>
      </c>
      <c r="Q117" s="43">
        <f t="shared" si="9"/>
        <v>6.5040643144133242E-2</v>
      </c>
      <c r="R117" s="43">
        <f t="shared" si="10"/>
        <v>7.9576692156108658E-2</v>
      </c>
      <c r="T117" s="43">
        <f t="shared" si="7"/>
        <v>5.8745059727596645E-2</v>
      </c>
      <c r="U117" s="43"/>
      <c r="V117" s="43">
        <f t="shared" si="11"/>
        <v>5.7459167611414071E-2</v>
      </c>
      <c r="X117" s="43">
        <v>6.9321573583585039E-3</v>
      </c>
      <c r="Y117" s="43"/>
      <c r="Z117" s="43">
        <f t="shared" si="12"/>
        <v>5.6462652421759322E-3</v>
      </c>
    </row>
    <row r="118" spans="12:26">
      <c r="L118" s="47">
        <v>4.8423457638778943E-2</v>
      </c>
      <c r="M118" s="43">
        <v>3.1151353497106026E-2</v>
      </c>
      <c r="N118" s="43">
        <v>1.9950104523650408E-2</v>
      </c>
      <c r="P118" s="43">
        <f t="shared" si="8"/>
        <v>4.7137565522596368E-2</v>
      </c>
      <c r="Q118" s="43">
        <f t="shared" si="9"/>
        <v>2.9865461380923455E-2</v>
      </c>
      <c r="R118" s="43">
        <f t="shared" si="10"/>
        <v>1.8664212407467837E-2</v>
      </c>
      <c r="T118" s="43">
        <f t="shared" si="7"/>
        <v>3.1757956108712765E-2</v>
      </c>
      <c r="U118" s="43"/>
      <c r="V118" s="43">
        <f t="shared" si="11"/>
        <v>3.0472063992530194E-2</v>
      </c>
      <c r="X118" s="43">
        <v>6.2007968638175814E-3</v>
      </c>
      <c r="Y118" s="43"/>
      <c r="Z118" s="43">
        <f t="shared" si="12"/>
        <v>4.9149047476350098E-3</v>
      </c>
    </row>
    <row r="119" spans="12:26">
      <c r="L119" s="47">
        <v>-1.835762928996049E-2</v>
      </c>
      <c r="M119" s="43">
        <v>1.6783312015870707E-3</v>
      </c>
      <c r="N119" s="43">
        <v>-2.200492646215289E-2</v>
      </c>
      <c r="P119" s="43">
        <f t="shared" si="8"/>
        <v>-1.9643521406143061E-2</v>
      </c>
      <c r="Q119" s="43">
        <f t="shared" si="9"/>
        <v>3.924390854044993E-4</v>
      </c>
      <c r="R119" s="43">
        <f t="shared" si="10"/>
        <v>-2.3290818578335461E-2</v>
      </c>
      <c r="T119" s="43">
        <f t="shared" si="7"/>
        <v>-1.0168752908360426E-2</v>
      </c>
      <c r="U119" s="43"/>
      <c r="V119" s="43">
        <f t="shared" si="11"/>
        <v>-1.1454645024542997E-2</v>
      </c>
      <c r="X119" s="43">
        <v>2.1030282120013677E-2</v>
      </c>
      <c r="Y119" s="43"/>
      <c r="Z119" s="43">
        <f t="shared" si="12"/>
        <v>1.9744390003831106E-2</v>
      </c>
    </row>
    <row r="120" spans="12:26">
      <c r="L120" s="47">
        <v>1.4921071093238441E-3</v>
      </c>
      <c r="M120" s="43">
        <v>3.1145315302816508E-2</v>
      </c>
      <c r="N120" s="43">
        <v>4.7500014305114746E-2</v>
      </c>
      <c r="P120" s="43">
        <f t="shared" si="8"/>
        <v>2.062149931412727E-4</v>
      </c>
      <c r="Q120" s="43">
        <f t="shared" si="9"/>
        <v>2.9859423186633937E-2</v>
      </c>
      <c r="R120" s="43">
        <f t="shared" si="10"/>
        <v>4.6214122188932172E-2</v>
      </c>
      <c r="T120" s="43">
        <f t="shared" si="7"/>
        <v>2.9230108471268487E-2</v>
      </c>
      <c r="U120" s="43"/>
      <c r="V120" s="43">
        <f t="shared" si="11"/>
        <v>2.7944216355085916E-2</v>
      </c>
      <c r="X120" s="43">
        <v>1.9058313448431896E-2</v>
      </c>
      <c r="Y120" s="43"/>
      <c r="Z120" s="43">
        <f t="shared" si="12"/>
        <v>1.7772421332249325E-2</v>
      </c>
    </row>
    <row r="121" spans="12:26">
      <c r="L121" s="47">
        <v>-1.728245787142773E-2</v>
      </c>
      <c r="M121" s="43">
        <v>-4.3299620433621171E-2</v>
      </c>
      <c r="N121" s="43">
        <v>-6.6825767915505818E-2</v>
      </c>
      <c r="P121" s="43">
        <f t="shared" si="8"/>
        <v>-1.85683499876103E-2</v>
      </c>
      <c r="Q121" s="43">
        <f t="shared" si="9"/>
        <v>-4.4585512549803745E-2</v>
      </c>
      <c r="R121" s="43">
        <f t="shared" si="10"/>
        <v>-6.8111660031688392E-2</v>
      </c>
      <c r="T121" s="43">
        <f t="shared" si="7"/>
        <v>-4.4407421760761859E-2</v>
      </c>
      <c r="U121" s="43"/>
      <c r="V121" s="43">
        <f t="shared" si="11"/>
        <v>-4.5693313876944433E-2</v>
      </c>
      <c r="X121" s="43">
        <v>-1.5079863077291922E-2</v>
      </c>
      <c r="Y121" s="43"/>
      <c r="Z121" s="43">
        <f t="shared" si="12"/>
        <v>-1.6365755193474493E-2</v>
      </c>
    </row>
    <row r="122" spans="12:26">
      <c r="L122" s="47">
        <v>5.2556764729650785E-3</v>
      </c>
      <c r="M122" s="43">
        <v>3.6367340915417615E-2</v>
      </c>
      <c r="N122" s="43">
        <v>6.6496159784103753E-2</v>
      </c>
      <c r="P122" s="43">
        <f t="shared" si="8"/>
        <v>3.9697843567825068E-3</v>
      </c>
      <c r="Q122" s="43">
        <f t="shared" si="9"/>
        <v>3.508144879923504E-2</v>
      </c>
      <c r="R122" s="43">
        <f t="shared" si="10"/>
        <v>6.5210267667921179E-2</v>
      </c>
      <c r="T122" s="43">
        <f t="shared" si="7"/>
        <v>3.8298484397712919E-2</v>
      </c>
      <c r="U122" s="43"/>
      <c r="V122" s="43">
        <f t="shared" si="11"/>
        <v>3.7012592281530345E-2</v>
      </c>
      <c r="X122" s="43">
        <v>3.7655321727690261E-2</v>
      </c>
      <c r="Y122" s="43"/>
      <c r="Z122" s="43">
        <f t="shared" si="12"/>
        <v>3.6369429611507686E-2</v>
      </c>
    </row>
    <row r="123" spans="12:26">
      <c r="L123" s="47">
        <v>-5.4393686733498404E-2</v>
      </c>
      <c r="M123" s="43">
        <v>2.7571511504880922E-2</v>
      </c>
      <c r="N123" s="43">
        <v>-0.18225419102119078</v>
      </c>
      <c r="P123" s="43">
        <f t="shared" si="8"/>
        <v>-5.5679578849680979E-2</v>
      </c>
      <c r="Q123" s="43">
        <f t="shared" si="9"/>
        <v>2.6285619388698351E-2</v>
      </c>
      <c r="R123" s="43">
        <f t="shared" si="10"/>
        <v>-0.18354008313737336</v>
      </c>
      <c r="T123" s="43">
        <f t="shared" si="7"/>
        <v>-5.5207854853628113E-2</v>
      </c>
      <c r="U123" s="43"/>
      <c r="V123" s="43">
        <f t="shared" si="11"/>
        <v>-5.6493746969810688E-2</v>
      </c>
      <c r="X123" s="43">
        <v>-1.5513859147336717E-2</v>
      </c>
      <c r="Y123" s="43"/>
      <c r="Z123" s="43">
        <f t="shared" si="12"/>
        <v>-1.6799751263519288E-2</v>
      </c>
    </row>
    <row r="124" spans="12:26">
      <c r="L124" s="47">
        <v>2.8282785182377812E-2</v>
      </c>
      <c r="M124" s="43">
        <v>1.1164297610386799E-2</v>
      </c>
      <c r="N124" s="43">
        <v>-0.17888566514971393</v>
      </c>
      <c r="P124" s="43">
        <f t="shared" si="8"/>
        <v>2.6996893066195241E-2</v>
      </c>
      <c r="Q124" s="43">
        <f t="shared" si="9"/>
        <v>9.8784054942042277E-3</v>
      </c>
      <c r="R124" s="43">
        <f t="shared" si="10"/>
        <v>-0.18017155726589651</v>
      </c>
      <c r="T124" s="43">
        <f t="shared" si="7"/>
        <v>-4.2603719732622586E-2</v>
      </c>
      <c r="U124" s="43"/>
      <c r="V124" s="43">
        <f t="shared" si="11"/>
        <v>-4.388961184880516E-2</v>
      </c>
      <c r="X124" s="43">
        <v>2.3201456175308888E-2</v>
      </c>
      <c r="Y124" s="43"/>
      <c r="Z124" s="43">
        <f t="shared" si="12"/>
        <v>2.1915564059126317E-2</v>
      </c>
    </row>
    <row r="125" spans="12:26">
      <c r="L125" s="47">
        <v>-6.3798968331661793E-2</v>
      </c>
      <c r="M125" s="43">
        <v>4.3607462054769111E-3</v>
      </c>
      <c r="N125" s="43">
        <v>-3.5714252262698792E-3</v>
      </c>
      <c r="P125" s="43">
        <f t="shared" si="8"/>
        <v>-6.5084860447844367E-2</v>
      </c>
      <c r="Q125" s="43">
        <f t="shared" si="9"/>
        <v>3.0748540892943394E-3</v>
      </c>
      <c r="R125" s="43">
        <f t="shared" si="10"/>
        <v>-4.8573173424524508E-3</v>
      </c>
      <c r="T125" s="43">
        <f t="shared" si="7"/>
        <v>-1.3873002194639064E-2</v>
      </c>
      <c r="U125" s="43"/>
      <c r="V125" s="43">
        <f t="shared" si="11"/>
        <v>-1.5158894310821635E-2</v>
      </c>
      <c r="X125" s="43">
        <v>2.4533584400783015E-2</v>
      </c>
      <c r="Y125" s="43"/>
      <c r="Z125" s="43">
        <f t="shared" si="12"/>
        <v>2.3247692284600444E-2</v>
      </c>
    </row>
    <row r="126" spans="12:26">
      <c r="L126" s="47">
        <v>2.1095604300875207E-2</v>
      </c>
      <c r="M126" s="43">
        <v>-3.399538388153147E-2</v>
      </c>
      <c r="N126" s="43">
        <v>-4.3010712257996596E-2</v>
      </c>
      <c r="P126" s="43">
        <f t="shared" si="8"/>
        <v>1.9809712184692636E-2</v>
      </c>
      <c r="Q126" s="43">
        <f t="shared" si="9"/>
        <v>-3.5281275997714044E-2</v>
      </c>
      <c r="R126" s="43">
        <f t="shared" si="10"/>
        <v>-4.429660437417917E-2</v>
      </c>
      <c r="T126" s="43">
        <f t="shared" si="7"/>
        <v>-2.3944727464170524E-2</v>
      </c>
      <c r="U126" s="43"/>
      <c r="V126" s="43">
        <f t="shared" si="11"/>
        <v>-2.5230619580353095E-2</v>
      </c>
      <c r="X126" s="43">
        <v>-4.1885120625277938E-3</v>
      </c>
      <c r="Y126" s="43"/>
      <c r="Z126" s="43">
        <f t="shared" si="12"/>
        <v>-5.4744041787103655E-3</v>
      </c>
    </row>
    <row r="127" spans="12:26">
      <c r="L127" s="47">
        <v>-5.4407776585573088E-2</v>
      </c>
      <c r="M127" s="43">
        <v>-4.2363969762878824E-2</v>
      </c>
      <c r="N127" s="43">
        <v>-3.7453236027600117E-2</v>
      </c>
      <c r="P127" s="43">
        <f t="shared" si="8"/>
        <v>-5.5693668701755662E-2</v>
      </c>
      <c r="Q127" s="43">
        <f t="shared" si="9"/>
        <v>-4.3649861879061398E-2</v>
      </c>
      <c r="R127" s="43">
        <f t="shared" si="10"/>
        <v>-3.8739128143782692E-2</v>
      </c>
      <c r="T127" s="43">
        <f t="shared" si="7"/>
        <v>-4.3668011728522339E-2</v>
      </c>
      <c r="U127" s="43"/>
      <c r="V127" s="43">
        <f t="shared" si="11"/>
        <v>-4.4953903844704914E-2</v>
      </c>
      <c r="X127" s="43">
        <v>-3.1040847054252252E-2</v>
      </c>
      <c r="Y127" s="43"/>
      <c r="Z127" s="43">
        <f t="shared" si="12"/>
        <v>-3.2326739170434826E-2</v>
      </c>
    </row>
    <row r="128" spans="12:26">
      <c r="L128" s="47">
        <v>1.2811745253271991E-2</v>
      </c>
      <c r="M128" s="43">
        <v>2.3666893958729347E-2</v>
      </c>
      <c r="N128" s="43">
        <v>0.21011672213223029</v>
      </c>
      <c r="P128" s="43">
        <f t="shared" si="8"/>
        <v>1.1525853137089421E-2</v>
      </c>
      <c r="Q128" s="43">
        <f t="shared" si="9"/>
        <v>2.2381001842546776E-2</v>
      </c>
      <c r="R128" s="43">
        <f t="shared" si="10"/>
        <v>0.20883083001604771</v>
      </c>
      <c r="T128" s="43">
        <f t="shared" si="7"/>
        <v>7.7795172553355108E-2</v>
      </c>
      <c r="U128" s="43"/>
      <c r="V128" s="43">
        <f t="shared" si="11"/>
        <v>7.6509280437172533E-2</v>
      </c>
      <c r="X128" s="43">
        <v>5.4892505726845675E-2</v>
      </c>
      <c r="Y128" s="43"/>
      <c r="Z128" s="43">
        <f t="shared" si="12"/>
        <v>5.3606613610663101E-2</v>
      </c>
    </row>
    <row r="129" spans="12:26">
      <c r="L129" s="47">
        <v>-3.9981938998450255E-2</v>
      </c>
      <c r="M129" s="43">
        <v>-1.8632363889438605E-2</v>
      </c>
      <c r="N129" s="43">
        <v>-0.13826361506207507</v>
      </c>
      <c r="P129" s="43">
        <f t="shared" si="8"/>
        <v>-4.1267831114632829E-2</v>
      </c>
      <c r="Q129" s="43">
        <f t="shared" si="9"/>
        <v>-1.9918256005621176E-2</v>
      </c>
      <c r="R129" s="43">
        <f t="shared" si="10"/>
        <v>-0.13954950717825765</v>
      </c>
      <c r="T129" s="43">
        <f t="shared" si="7"/>
        <v>-5.9935943935066634E-2</v>
      </c>
      <c r="U129" s="43"/>
      <c r="V129" s="43">
        <f t="shared" si="11"/>
        <v>-6.1221836051249208E-2</v>
      </c>
      <c r="X129" s="43">
        <v>-1.7396056070325572E-2</v>
      </c>
      <c r="Y129" s="43"/>
      <c r="Z129" s="43">
        <f t="shared" si="12"/>
        <v>-1.8681948186508143E-2</v>
      </c>
    </row>
    <row r="130" spans="12:26">
      <c r="L130" s="47">
        <v>2.7882385253906249E-2</v>
      </c>
      <c r="M130" s="43">
        <v>-1.3916516372900846E-2</v>
      </c>
      <c r="N130" s="43">
        <v>-0.15671644247462466</v>
      </c>
      <c r="P130" s="43">
        <f t="shared" si="8"/>
        <v>2.6596493137723679E-2</v>
      </c>
      <c r="Q130" s="43">
        <f t="shared" si="9"/>
        <v>-1.5202408489083417E-2</v>
      </c>
      <c r="R130" s="43">
        <f t="shared" si="10"/>
        <v>-0.15800233459080723</v>
      </c>
      <c r="T130" s="43">
        <f t="shared" si="7"/>
        <v>-4.7598998748690467E-2</v>
      </c>
      <c r="U130" s="43"/>
      <c r="V130" s="43">
        <f t="shared" si="11"/>
        <v>-4.8884890864873042E-2</v>
      </c>
      <c r="X130" s="43">
        <v>8.5207627098153882E-3</v>
      </c>
      <c r="Y130" s="43"/>
      <c r="Z130" s="43">
        <f t="shared" si="12"/>
        <v>7.2348705936328165E-3</v>
      </c>
    </row>
    <row r="131" spans="12:26">
      <c r="L131" s="47">
        <v>-2.4836966122502906E-2</v>
      </c>
      <c r="M131" s="43">
        <v>9.4758313540745202E-3</v>
      </c>
      <c r="N131" s="43">
        <v>8.8495491198714825E-3</v>
      </c>
      <c r="P131" s="43">
        <f t="shared" si="8"/>
        <v>-2.6122858238685476E-2</v>
      </c>
      <c r="Q131" s="43">
        <f t="shared" si="9"/>
        <v>8.1899392378919494E-3</v>
      </c>
      <c r="R131" s="43">
        <f t="shared" si="10"/>
        <v>7.5636570036889108E-3</v>
      </c>
      <c r="T131" s="43">
        <f t="shared" si="7"/>
        <v>1.3195988792181769E-3</v>
      </c>
      <c r="U131" s="43"/>
      <c r="V131" s="43">
        <f t="shared" si="11"/>
        <v>3.3706763035605504E-5</v>
      </c>
      <c r="X131" s="43">
        <v>1.0491438545008114E-2</v>
      </c>
      <c r="Y131" s="43"/>
      <c r="Z131" s="43">
        <f t="shared" si="12"/>
        <v>9.205546428825543E-3</v>
      </c>
    </row>
    <row r="132" spans="12:26">
      <c r="L132" s="47">
        <v>-2.3474179244571711E-2</v>
      </c>
      <c r="M132" s="43">
        <v>-2.6762535665172126E-2</v>
      </c>
      <c r="N132" s="43">
        <v>5.2631633983975551E-2</v>
      </c>
      <c r="P132" s="43">
        <f t="shared" si="8"/>
        <v>-2.4760071360754282E-2</v>
      </c>
      <c r="Q132" s="43">
        <f t="shared" si="9"/>
        <v>-2.8048427781354697E-2</v>
      </c>
      <c r="R132" s="43">
        <f t="shared" si="10"/>
        <v>5.1345741867792977E-2</v>
      </c>
      <c r="T132" s="43">
        <f t="shared" si="7"/>
        <v>-1.8770782033905795E-3</v>
      </c>
      <c r="U132" s="43"/>
      <c r="V132" s="43">
        <f t="shared" si="11"/>
        <v>-3.1629703195731511E-3</v>
      </c>
      <c r="X132" s="43">
        <v>-2.10117728564716E-2</v>
      </c>
      <c r="Y132" s="43"/>
      <c r="Z132" s="43">
        <f t="shared" si="12"/>
        <v>-2.2297664972654171E-2</v>
      </c>
    </row>
    <row r="133" spans="12:26">
      <c r="L133" s="47">
        <v>-4.7956706852425313E-2</v>
      </c>
      <c r="M133" s="43">
        <v>2.8216704554003331E-2</v>
      </c>
      <c r="N133" s="43">
        <v>-0.19583338714307996</v>
      </c>
      <c r="P133" s="43">
        <f t="shared" si="8"/>
        <v>-4.9242598968607887E-2</v>
      </c>
      <c r="Q133" s="43">
        <f t="shared" si="9"/>
        <v>2.6930812437820761E-2</v>
      </c>
      <c r="R133" s="43">
        <f t="shared" si="10"/>
        <v>-0.19711927925926254</v>
      </c>
      <c r="T133" s="43">
        <f t="shared" si="7"/>
        <v>-5.7539803376869036E-2</v>
      </c>
      <c r="U133" s="43"/>
      <c r="V133" s="43">
        <f t="shared" si="11"/>
        <v>-5.8825695493051611E-2</v>
      </c>
      <c r="X133" s="43">
        <v>1.9742039930008559E-2</v>
      </c>
      <c r="Y133" s="43"/>
      <c r="Z133" s="43">
        <f t="shared" si="12"/>
        <v>1.8456147813825988E-2</v>
      </c>
    </row>
    <row r="134" spans="12:26">
      <c r="L134" s="47">
        <v>-5.0119950341993562E-2</v>
      </c>
      <c r="M134" s="43">
        <v>-6.2169402100158165E-2</v>
      </c>
      <c r="N134" s="43">
        <v>-6.217616996354481E-2</v>
      </c>
      <c r="P134" s="43">
        <f t="shared" si="8"/>
        <v>-5.1405842458176136E-2</v>
      </c>
      <c r="Q134" s="43">
        <f t="shared" si="9"/>
        <v>-6.3455294216340732E-2</v>
      </c>
      <c r="R134" s="43">
        <f t="shared" si="10"/>
        <v>-6.3462062079727377E-2</v>
      </c>
      <c r="T134" s="43">
        <f t="shared" si="7"/>
        <v>-5.9374095438220059E-2</v>
      </c>
      <c r="U134" s="43"/>
      <c r="V134" s="43">
        <f t="shared" si="11"/>
        <v>-6.0659987554402633E-2</v>
      </c>
      <c r="X134" s="43">
        <v>-6.258080462392579E-2</v>
      </c>
      <c r="Y134" s="43"/>
      <c r="Z134" s="43">
        <f t="shared" si="12"/>
        <v>-6.3866696740108364E-2</v>
      </c>
    </row>
    <row r="135" spans="12:26">
      <c r="L135" s="47">
        <v>-1.1828806684177229E-2</v>
      </c>
      <c r="M135" s="43">
        <v>-6.703605664066194E-3</v>
      </c>
      <c r="N135" s="43">
        <v>-4.9723711057748671E-2</v>
      </c>
      <c r="P135" s="43">
        <f t="shared" si="8"/>
        <v>-1.31146988003598E-2</v>
      </c>
      <c r="Q135" s="43">
        <f t="shared" si="9"/>
        <v>-7.9894977802487648E-3</v>
      </c>
      <c r="R135" s="43">
        <f t="shared" si="10"/>
        <v>-5.1009603173931245E-2</v>
      </c>
      <c r="T135" s="43">
        <f t="shared" ref="T135:T198" si="13">$L$3*L135+$M$3*M135+$N$3*N135</f>
        <v>-2.0964099031009629E-2</v>
      </c>
      <c r="U135" s="43"/>
      <c r="V135" s="43">
        <f t="shared" si="11"/>
        <v>-2.22499911471922E-2</v>
      </c>
      <c r="X135" s="43">
        <v>-2.6442819620927094E-2</v>
      </c>
      <c r="Y135" s="43"/>
      <c r="Z135" s="43">
        <f t="shared" si="12"/>
        <v>-2.7728711737109665E-2</v>
      </c>
    </row>
    <row r="136" spans="12:26">
      <c r="L136" s="47">
        <v>0.11284464777183195</v>
      </c>
      <c r="M136" s="43">
        <v>8.2271027645542658E-2</v>
      </c>
      <c r="N136" s="43">
        <v>0.23255805249727518</v>
      </c>
      <c r="P136" s="43">
        <f t="shared" ref="P136:P199" si="14">L136-$Q$3</f>
        <v>0.11155875565564938</v>
      </c>
      <c r="Q136" s="43">
        <f t="shared" ref="Q136:Q199" si="15">M136-$Q$3</f>
        <v>8.0985135529360083E-2</v>
      </c>
      <c r="R136" s="43">
        <f t="shared" ref="R136:R199" si="16">N136-$Q$3</f>
        <v>0.23127216038109261</v>
      </c>
      <c r="T136" s="43">
        <f t="shared" si="13"/>
        <v>0.13503006570726267</v>
      </c>
      <c r="U136" s="43"/>
      <c r="V136" s="43">
        <f t="shared" ref="V136:V199" si="17">T136-$Q$3</f>
        <v>0.1337441735910801</v>
      </c>
      <c r="X136" s="43">
        <v>8.2983078389400333E-2</v>
      </c>
      <c r="Y136" s="43"/>
      <c r="Z136" s="43">
        <f t="shared" ref="Z136:Z199" si="18">X136-$Q$3</f>
        <v>8.1697186273217759E-2</v>
      </c>
    </row>
    <row r="137" spans="12:26">
      <c r="L137" s="47">
        <v>-1.3052867168770714E-2</v>
      </c>
      <c r="M137" s="43">
        <v>2.0785814808471459E-3</v>
      </c>
      <c r="N137" s="43">
        <v>0.11320755777939623</v>
      </c>
      <c r="P137" s="43">
        <f t="shared" si="14"/>
        <v>-1.4338759284953284E-2</v>
      </c>
      <c r="Q137" s="43">
        <f t="shared" si="15"/>
        <v>7.9268936466457443E-4</v>
      </c>
      <c r="R137" s="43">
        <f t="shared" si="16"/>
        <v>0.11192166566321365</v>
      </c>
      <c r="T137" s="43">
        <f t="shared" si="13"/>
        <v>3.2329626128105596E-2</v>
      </c>
      <c r="U137" s="43"/>
      <c r="V137" s="43">
        <f t="shared" si="17"/>
        <v>3.1043734011923025E-2</v>
      </c>
      <c r="X137" s="43">
        <v>5.0496306555847248E-4</v>
      </c>
      <c r="Y137" s="43"/>
      <c r="Z137" s="43">
        <f t="shared" si="18"/>
        <v>-7.8092905062409896E-4</v>
      </c>
    </row>
    <row r="138" spans="12:26">
      <c r="L138" s="47">
        <v>-4.543236036601659E-2</v>
      </c>
      <c r="M138" s="43">
        <v>1.4618761242222807E-2</v>
      </c>
      <c r="N138" s="43">
        <v>0.2161017004801811</v>
      </c>
      <c r="P138" s="43">
        <f t="shared" si="14"/>
        <v>-4.6718252482199164E-2</v>
      </c>
      <c r="Q138" s="43">
        <f t="shared" si="15"/>
        <v>1.3332869126040236E-2</v>
      </c>
      <c r="R138" s="43">
        <f t="shared" si="16"/>
        <v>0.21481580836399852</v>
      </c>
      <c r="T138" s="43">
        <f t="shared" si="13"/>
        <v>6.1893312786452936E-2</v>
      </c>
      <c r="U138" s="43"/>
      <c r="V138" s="43">
        <f t="shared" si="17"/>
        <v>6.0607420670270362E-2</v>
      </c>
      <c r="X138" s="43">
        <v>-1.7530198374358763E-2</v>
      </c>
      <c r="Y138" s="43"/>
      <c r="Z138" s="43">
        <f t="shared" si="18"/>
        <v>-1.8816090490541334E-2</v>
      </c>
    </row>
    <row r="139" spans="12:26">
      <c r="L139" s="47">
        <v>-1.2828541120725313E-3</v>
      </c>
      <c r="M139" s="43">
        <v>1.6744559971407596E-2</v>
      </c>
      <c r="N139" s="43">
        <v>-0.23344943017126596</v>
      </c>
      <c r="P139" s="43">
        <f t="shared" si="14"/>
        <v>-2.5687462282551025E-3</v>
      </c>
      <c r="Q139" s="43">
        <f t="shared" si="15"/>
        <v>1.5458667855225025E-2</v>
      </c>
      <c r="R139" s="43">
        <f t="shared" si="16"/>
        <v>-0.23473532228744853</v>
      </c>
      <c r="T139" s="43">
        <f t="shared" si="13"/>
        <v>-6.345616159880367E-2</v>
      </c>
      <c r="U139" s="43"/>
      <c r="V139" s="43">
        <f t="shared" si="17"/>
        <v>-6.4742053714986245E-2</v>
      </c>
      <c r="X139" s="43">
        <v>-5.0735344481736333E-2</v>
      </c>
      <c r="Y139" s="43"/>
      <c r="Z139" s="43">
        <f t="shared" si="18"/>
        <v>-5.2021236597918907E-2</v>
      </c>
    </row>
    <row r="140" spans="12:26">
      <c r="L140" s="47">
        <v>2.9544034641469902E-2</v>
      </c>
      <c r="M140" s="43">
        <v>7.3726218409310724E-3</v>
      </c>
      <c r="N140" s="43">
        <v>-2.7272700672307866E-2</v>
      </c>
      <c r="P140" s="43">
        <f t="shared" si="14"/>
        <v>2.8258142525287331E-2</v>
      </c>
      <c r="Q140" s="43">
        <f t="shared" si="15"/>
        <v>6.0867297247485007E-3</v>
      </c>
      <c r="R140" s="43">
        <f t="shared" si="16"/>
        <v>-2.8558592788490437E-2</v>
      </c>
      <c r="T140" s="43">
        <f t="shared" si="13"/>
        <v>1.9937046448864851E-3</v>
      </c>
      <c r="U140" s="43"/>
      <c r="V140" s="43">
        <f t="shared" si="17"/>
        <v>7.078125287039137E-4</v>
      </c>
      <c r="X140" s="43">
        <v>-4.1283552550199776E-3</v>
      </c>
      <c r="Y140" s="43"/>
      <c r="Z140" s="43">
        <f t="shared" si="18"/>
        <v>-5.4142473712025492E-3</v>
      </c>
    </row>
    <row r="141" spans="12:26">
      <c r="L141" s="47">
        <v>4.2919460343378908E-2</v>
      </c>
      <c r="M141" s="43">
        <v>2.841933171550429E-2</v>
      </c>
      <c r="N141" s="43">
        <v>0.33177559108586402</v>
      </c>
      <c r="P141" s="43">
        <f t="shared" si="14"/>
        <v>4.1633568227196334E-2</v>
      </c>
      <c r="Q141" s="43">
        <f t="shared" si="15"/>
        <v>2.713343959932172E-2</v>
      </c>
      <c r="R141" s="43">
        <f t="shared" si="16"/>
        <v>0.33048969896968144</v>
      </c>
      <c r="T141" s="43">
        <f t="shared" si="13"/>
        <v>0.12395326943471374</v>
      </c>
      <c r="U141" s="43"/>
      <c r="V141" s="43">
        <f t="shared" si="17"/>
        <v>0.12266737731853117</v>
      </c>
      <c r="X141" s="43">
        <v>6.5991108718941094E-2</v>
      </c>
      <c r="Y141" s="43"/>
      <c r="Z141" s="43">
        <f t="shared" si="18"/>
        <v>6.470521660275852E-2</v>
      </c>
    </row>
    <row r="142" spans="12:26">
      <c r="L142" s="47">
        <v>5.7542832859390228E-2</v>
      </c>
      <c r="M142" s="43">
        <v>3.5859565547571248E-2</v>
      </c>
      <c r="N142" s="43">
        <v>0.24561406003764838</v>
      </c>
      <c r="P142" s="43">
        <f t="shared" si="14"/>
        <v>5.6256940743207653E-2</v>
      </c>
      <c r="Q142" s="43">
        <f t="shared" si="15"/>
        <v>3.4573673431388674E-2</v>
      </c>
      <c r="R142" s="43">
        <f t="shared" si="16"/>
        <v>0.24432816792146581</v>
      </c>
      <c r="T142" s="43">
        <f t="shared" si="13"/>
        <v>0.10462243306543777</v>
      </c>
      <c r="U142" s="43"/>
      <c r="V142" s="43">
        <f t="shared" si="17"/>
        <v>0.10333654094925519</v>
      </c>
      <c r="X142" s="43">
        <v>2.69936982337593E-3</v>
      </c>
      <c r="Y142" s="43"/>
      <c r="Z142" s="43">
        <f t="shared" si="18"/>
        <v>1.4134777071933586E-3</v>
      </c>
    </row>
    <row r="143" spans="12:26">
      <c r="L143" s="47">
        <v>7.0135193041370907E-3</v>
      </c>
      <c r="M143" s="43">
        <v>5.4425463988754677E-3</v>
      </c>
      <c r="N143" s="43">
        <v>0.28732400930866736</v>
      </c>
      <c r="P143" s="43">
        <f t="shared" si="14"/>
        <v>5.727627187954519E-3</v>
      </c>
      <c r="Q143" s="43">
        <f t="shared" si="15"/>
        <v>4.1566542826928961E-3</v>
      </c>
      <c r="R143" s="43">
        <f t="shared" si="16"/>
        <v>0.28603811719248479</v>
      </c>
      <c r="T143" s="43">
        <f t="shared" si="13"/>
        <v>9.1450282274073563E-2</v>
      </c>
      <c r="U143" s="43"/>
      <c r="V143" s="43">
        <f t="shared" si="17"/>
        <v>9.0164390157890989E-2</v>
      </c>
      <c r="X143" s="43">
        <v>1.5329492083474561E-2</v>
      </c>
      <c r="Y143" s="43"/>
      <c r="Z143" s="43">
        <f t="shared" si="18"/>
        <v>1.404359996729199E-2</v>
      </c>
    </row>
    <row r="144" spans="12:26">
      <c r="L144" s="47">
        <v>5.3021808567668111E-2</v>
      </c>
      <c r="M144" s="43">
        <v>7.6404298729413705E-2</v>
      </c>
      <c r="N144" s="43">
        <v>0.1247264055609436</v>
      </c>
      <c r="P144" s="43">
        <f t="shared" si="14"/>
        <v>5.1735916451485536E-2</v>
      </c>
      <c r="Q144" s="43">
        <f t="shared" si="15"/>
        <v>7.5118406613231131E-2</v>
      </c>
      <c r="R144" s="43">
        <f t="shared" si="16"/>
        <v>0.12344051344476102</v>
      </c>
      <c r="T144" s="43">
        <f t="shared" si="13"/>
        <v>8.5657423838807784E-2</v>
      </c>
      <c r="U144" s="43"/>
      <c r="V144" s="43">
        <f t="shared" si="17"/>
        <v>8.4371531722625209E-2</v>
      </c>
      <c r="X144" s="43">
        <v>9.0607355409733081E-4</v>
      </c>
      <c r="Y144" s="43"/>
      <c r="Z144" s="43">
        <f t="shared" si="18"/>
        <v>-3.7981856208524063E-4</v>
      </c>
    </row>
    <row r="145" spans="12:26">
      <c r="L145" s="47">
        <v>-5.1098794801431043E-2</v>
      </c>
      <c r="M145" s="43">
        <v>3.2399012417987157E-2</v>
      </c>
      <c r="N145" s="43">
        <v>0.33463041083789663</v>
      </c>
      <c r="P145" s="43">
        <f t="shared" si="14"/>
        <v>-5.2384686917613617E-2</v>
      </c>
      <c r="Q145" s="43">
        <f t="shared" si="15"/>
        <v>3.1113120301804586E-2</v>
      </c>
      <c r="R145" s="43">
        <f t="shared" si="16"/>
        <v>0.33334451872171406</v>
      </c>
      <c r="T145" s="43">
        <f t="shared" si="13"/>
        <v>0.10484029437277587</v>
      </c>
      <c r="U145" s="43"/>
      <c r="V145" s="43">
        <f t="shared" si="17"/>
        <v>0.10355440225659329</v>
      </c>
      <c r="X145" s="43">
        <v>3.5609807228685897E-2</v>
      </c>
      <c r="Y145" s="43"/>
      <c r="Z145" s="43">
        <f t="shared" si="18"/>
        <v>3.4323915112503323E-2</v>
      </c>
    </row>
    <row r="146" spans="12:26">
      <c r="L146" s="47">
        <v>-2.0348483650279865E-2</v>
      </c>
      <c r="M146" s="43">
        <v>-4.7033513224902887E-2</v>
      </c>
      <c r="N146" s="43">
        <v>7.8717194073345195E-2</v>
      </c>
      <c r="P146" s="43">
        <f t="shared" si="14"/>
        <v>-2.1634375766462436E-2</v>
      </c>
      <c r="Q146" s="43">
        <f t="shared" si="15"/>
        <v>-4.8319405341085461E-2</v>
      </c>
      <c r="R146" s="43">
        <f t="shared" si="16"/>
        <v>7.7431301957162621E-2</v>
      </c>
      <c r="T146" s="43">
        <f t="shared" si="13"/>
        <v>-2.6320186231467181E-3</v>
      </c>
      <c r="U146" s="43"/>
      <c r="V146" s="43">
        <f t="shared" si="17"/>
        <v>-3.9179107393292898E-3</v>
      </c>
      <c r="X146" s="43">
        <v>-1.2191755612809274E-3</v>
      </c>
      <c r="Y146" s="43"/>
      <c r="Z146" s="43">
        <f t="shared" si="18"/>
        <v>-2.5050676774634991E-3</v>
      </c>
    </row>
    <row r="147" spans="12:26">
      <c r="L147" s="47">
        <v>1.6066030597777163E-3</v>
      </c>
      <c r="M147" s="43">
        <v>-1.0139091013935952E-2</v>
      </c>
      <c r="N147" s="43">
        <v>-6.6216248870330896E-2</v>
      </c>
      <c r="P147" s="43">
        <f t="shared" si="14"/>
        <v>3.2071094359514482E-4</v>
      </c>
      <c r="Q147" s="43">
        <f t="shared" si="15"/>
        <v>-1.1424983130118523E-2</v>
      </c>
      <c r="R147" s="43">
        <f t="shared" si="16"/>
        <v>-6.750214098651347E-2</v>
      </c>
      <c r="T147" s="43">
        <f t="shared" si="13"/>
        <v>-2.4449967254426021E-2</v>
      </c>
      <c r="U147" s="43"/>
      <c r="V147" s="43">
        <f t="shared" si="17"/>
        <v>-2.5735859370608592E-2</v>
      </c>
      <c r="X147" s="43">
        <v>-1.2344825997834263E-3</v>
      </c>
      <c r="Y147" s="43"/>
      <c r="Z147" s="43">
        <f t="shared" si="18"/>
        <v>-2.520374715965998E-3</v>
      </c>
    </row>
    <row r="148" spans="12:26">
      <c r="L148" s="47">
        <v>-4.5371209210098913E-2</v>
      </c>
      <c r="M148" s="43">
        <v>-1.8115630571442502E-2</v>
      </c>
      <c r="N148" s="43">
        <v>4.6309721957696053E-2</v>
      </c>
      <c r="P148" s="43">
        <f t="shared" si="14"/>
        <v>-4.6657101326281487E-2</v>
      </c>
      <c r="Q148" s="43">
        <f t="shared" si="15"/>
        <v>-1.9401522687625072E-2</v>
      </c>
      <c r="R148" s="43">
        <f t="shared" si="16"/>
        <v>4.5023829841513478E-2</v>
      </c>
      <c r="T148" s="43">
        <f t="shared" si="13"/>
        <v>-4.8690787269796889E-3</v>
      </c>
      <c r="U148" s="43"/>
      <c r="V148" s="43">
        <f t="shared" si="17"/>
        <v>-6.1549708431622606E-3</v>
      </c>
      <c r="X148" s="43">
        <v>-1.9425625037472249E-2</v>
      </c>
      <c r="Y148" s="43"/>
      <c r="Z148" s="43">
        <f t="shared" si="18"/>
        <v>-2.071151715365482E-2</v>
      </c>
    </row>
    <row r="149" spans="12:26">
      <c r="L149" s="47">
        <v>4.7767683287459596E-2</v>
      </c>
      <c r="M149" s="43">
        <v>-4.043447623406396E-2</v>
      </c>
      <c r="N149" s="43">
        <v>0.23236512087228356</v>
      </c>
      <c r="P149" s="43">
        <f t="shared" si="14"/>
        <v>4.6481791171277022E-2</v>
      </c>
      <c r="Q149" s="43">
        <f t="shared" si="15"/>
        <v>-4.1720368350246534E-2</v>
      </c>
      <c r="R149" s="43">
        <f t="shared" si="16"/>
        <v>0.23107922875610099</v>
      </c>
      <c r="T149" s="43">
        <f t="shared" si="13"/>
        <v>6.2925973750232178E-2</v>
      </c>
      <c r="U149" s="43"/>
      <c r="V149" s="43">
        <f t="shared" si="17"/>
        <v>6.1640081634049604E-2</v>
      </c>
      <c r="X149" s="43">
        <v>3.4174446769983158E-2</v>
      </c>
      <c r="Y149" s="43"/>
      <c r="Z149" s="43">
        <f t="shared" si="18"/>
        <v>3.2888554653800584E-2</v>
      </c>
    </row>
    <row r="150" spans="12:26">
      <c r="L150" s="47">
        <v>3.3906059347074163E-2</v>
      </c>
      <c r="M150" s="43">
        <v>3.5130241918291588E-2</v>
      </c>
      <c r="N150" s="43">
        <v>0.27272731164878411</v>
      </c>
      <c r="P150" s="43">
        <f t="shared" si="14"/>
        <v>3.2620167230891589E-2</v>
      </c>
      <c r="Q150" s="43">
        <f t="shared" si="15"/>
        <v>3.3844349802109014E-2</v>
      </c>
      <c r="R150" s="43">
        <f t="shared" si="16"/>
        <v>0.27144141953260154</v>
      </c>
      <c r="T150" s="43">
        <f t="shared" si="13"/>
        <v>0.10703429651198491</v>
      </c>
      <c r="U150" s="43"/>
      <c r="V150" s="43">
        <f t="shared" si="17"/>
        <v>0.10574840439580234</v>
      </c>
      <c r="X150" s="43">
        <v>1.8200754044233047E-2</v>
      </c>
      <c r="Y150" s="43"/>
      <c r="Z150" s="43">
        <f t="shared" si="18"/>
        <v>1.6914861928050477E-2</v>
      </c>
    </row>
    <row r="151" spans="12:26">
      <c r="L151" s="47">
        <v>-7.0573926388431851E-2</v>
      </c>
      <c r="M151" s="43">
        <v>-1.7012404305598278E-2</v>
      </c>
      <c r="N151" s="43">
        <v>-8.5537941267791406E-2</v>
      </c>
      <c r="P151" s="43">
        <f t="shared" si="14"/>
        <v>-7.1859818504614426E-2</v>
      </c>
      <c r="Q151" s="43">
        <f t="shared" si="15"/>
        <v>-1.8298296421780848E-2</v>
      </c>
      <c r="R151" s="43">
        <f t="shared" si="16"/>
        <v>-8.6823833383973981E-2</v>
      </c>
      <c r="T151" s="43">
        <f t="shared" si="13"/>
        <v>-5.0266944888553391E-2</v>
      </c>
      <c r="U151" s="43"/>
      <c r="V151" s="43">
        <f t="shared" si="17"/>
        <v>-5.1552837004735966E-2</v>
      </c>
      <c r="X151" s="43">
        <v>1.7884341374735824E-2</v>
      </c>
      <c r="Y151" s="43"/>
      <c r="Z151" s="43">
        <f t="shared" si="18"/>
        <v>1.6598449258553253E-2</v>
      </c>
    </row>
    <row r="152" spans="12:26">
      <c r="L152" s="47">
        <v>-3.0635352408183977E-2</v>
      </c>
      <c r="M152" s="43">
        <v>7.9116989708367821E-2</v>
      </c>
      <c r="N152" s="43">
        <v>0.39440696217205262</v>
      </c>
      <c r="P152" s="43">
        <f t="shared" si="14"/>
        <v>-3.1921244524366552E-2</v>
      </c>
      <c r="Q152" s="43">
        <f t="shared" si="15"/>
        <v>7.7831097592185247E-2</v>
      </c>
      <c r="R152" s="43">
        <f t="shared" si="16"/>
        <v>0.39312107005587005</v>
      </c>
      <c r="T152" s="43">
        <f t="shared" si="13"/>
        <v>0.14943064045578222</v>
      </c>
      <c r="U152" s="43"/>
      <c r="V152" s="43">
        <f t="shared" si="17"/>
        <v>0.14814474833959965</v>
      </c>
      <c r="X152" s="43">
        <v>3.7198260541408734E-2</v>
      </c>
      <c r="Y152" s="43"/>
      <c r="Z152" s="43">
        <f t="shared" si="18"/>
        <v>3.591236842522616E-2</v>
      </c>
    </row>
    <row r="153" spans="12:26">
      <c r="L153" s="47">
        <v>8.4850275946344676E-3</v>
      </c>
      <c r="M153" s="43">
        <v>1.9147401888676262E-2</v>
      </c>
      <c r="N153" s="43">
        <v>6.2240769260346425E-3</v>
      </c>
      <c r="P153" s="43">
        <f t="shared" si="14"/>
        <v>7.1991354784518959E-3</v>
      </c>
      <c r="Q153" s="43">
        <f t="shared" si="15"/>
        <v>1.7861509772493692E-2</v>
      </c>
      <c r="R153" s="43">
        <f t="shared" si="16"/>
        <v>4.9381848098520708E-3</v>
      </c>
      <c r="T153" s="43">
        <f t="shared" si="13"/>
        <v>1.2745611516250395E-2</v>
      </c>
      <c r="U153" s="43"/>
      <c r="V153" s="43">
        <f t="shared" si="17"/>
        <v>1.1459719400067825E-2</v>
      </c>
      <c r="X153" s="43">
        <v>-3.8923017041525565E-4</v>
      </c>
      <c r="Y153" s="43"/>
      <c r="Z153" s="43">
        <f t="shared" si="18"/>
        <v>-1.6751222865978271E-3</v>
      </c>
    </row>
    <row r="154" spans="12:26">
      <c r="L154" s="47">
        <v>-4.3897159001843392E-3</v>
      </c>
      <c r="M154" s="43">
        <v>-8.6712308678618295E-3</v>
      </c>
      <c r="N154" s="43">
        <v>-8.5910651794765883E-2</v>
      </c>
      <c r="P154" s="43">
        <f t="shared" si="14"/>
        <v>-5.6756080163669108E-3</v>
      </c>
      <c r="Q154" s="43">
        <f t="shared" si="15"/>
        <v>-9.9571229840444003E-3</v>
      </c>
      <c r="R154" s="43">
        <f t="shared" si="16"/>
        <v>-8.7196543910948457E-2</v>
      </c>
      <c r="T154" s="43">
        <f t="shared" si="13"/>
        <v>-3.1144621238644393E-2</v>
      </c>
      <c r="U154" s="43"/>
      <c r="V154" s="43">
        <f t="shared" si="17"/>
        <v>-3.2430513354826968E-2</v>
      </c>
      <c r="X154" s="43">
        <v>9.0912169025529899E-3</v>
      </c>
      <c r="Y154" s="43"/>
      <c r="Z154" s="43">
        <f t="shared" si="18"/>
        <v>7.8053247863704182E-3</v>
      </c>
    </row>
    <row r="155" spans="12:26">
      <c r="L155" s="47">
        <v>-1.4084525467086662E-2</v>
      </c>
      <c r="M155" s="43">
        <v>3.8713847347847739E-2</v>
      </c>
      <c r="N155" s="43">
        <v>-0.15864666015730178</v>
      </c>
      <c r="P155" s="43">
        <f t="shared" si="14"/>
        <v>-1.5370417583269232E-2</v>
      </c>
      <c r="Q155" s="43">
        <f t="shared" si="15"/>
        <v>3.7427955231665165E-2</v>
      </c>
      <c r="R155" s="43">
        <f t="shared" si="16"/>
        <v>-0.15993255227348435</v>
      </c>
      <c r="T155" s="43">
        <f t="shared" si="13"/>
        <v>-3.3506985278740103E-2</v>
      </c>
      <c r="U155" s="43"/>
      <c r="V155" s="43">
        <f t="shared" si="17"/>
        <v>-3.4792877394922678E-2</v>
      </c>
      <c r="X155" s="43">
        <v>1.1576210049492719E-2</v>
      </c>
      <c r="Y155" s="43"/>
      <c r="Z155" s="43">
        <f t="shared" si="18"/>
        <v>1.0290317933310148E-2</v>
      </c>
    </row>
    <row r="156" spans="12:26">
      <c r="L156" s="47">
        <v>2.857184558181289E-3</v>
      </c>
      <c r="M156" s="43">
        <v>3.1500922309027776E-2</v>
      </c>
      <c r="N156" s="43">
        <v>0.11528150225442992</v>
      </c>
      <c r="P156" s="43">
        <f t="shared" si="14"/>
        <v>1.5712924419987175E-3</v>
      </c>
      <c r="Q156" s="43">
        <f t="shared" si="15"/>
        <v>3.0215030192845205E-2</v>
      </c>
      <c r="R156" s="43">
        <f t="shared" si="16"/>
        <v>0.11399561013824734</v>
      </c>
      <c r="T156" s="43">
        <f t="shared" si="13"/>
        <v>5.0305832118861679E-2</v>
      </c>
      <c r="U156" s="43"/>
      <c r="V156" s="43">
        <f t="shared" si="17"/>
        <v>4.9019940002679105E-2</v>
      </c>
      <c r="X156" s="43">
        <v>4.8138319927024664E-3</v>
      </c>
      <c r="Y156" s="43"/>
      <c r="Z156" s="43">
        <f t="shared" si="18"/>
        <v>3.5279398765198948E-3</v>
      </c>
    </row>
    <row r="157" spans="12:26">
      <c r="L157" s="47">
        <v>-8.5470384332269229E-3</v>
      </c>
      <c r="M157" s="43">
        <v>3.2504947947214666E-3</v>
      </c>
      <c r="N157" s="43">
        <v>9.0544884285983701E-2</v>
      </c>
      <c r="P157" s="43">
        <f t="shared" si="14"/>
        <v>-9.8329305494094937E-3</v>
      </c>
      <c r="Q157" s="43">
        <f t="shared" si="15"/>
        <v>1.9646026785388954E-3</v>
      </c>
      <c r="R157" s="43">
        <f t="shared" si="16"/>
        <v>8.9258992169801127E-2</v>
      </c>
      <c r="T157" s="43">
        <f t="shared" si="13"/>
        <v>2.7033954620104186E-2</v>
      </c>
      <c r="U157" s="43"/>
      <c r="V157" s="43">
        <f t="shared" si="17"/>
        <v>2.5748062503921615E-2</v>
      </c>
      <c r="X157" s="43">
        <v>1.9348768883515444E-2</v>
      </c>
      <c r="Y157" s="43"/>
      <c r="Z157" s="43">
        <f t="shared" si="18"/>
        <v>1.8062876767332873E-2</v>
      </c>
    </row>
    <row r="158" spans="12:26">
      <c r="L158" s="47">
        <v>-4.6351812119394112E-2</v>
      </c>
      <c r="M158" s="43">
        <v>-2.637176765343694E-3</v>
      </c>
      <c r="N158" s="43">
        <v>-4.4819961209769187E-2</v>
      </c>
      <c r="P158" s="43">
        <f t="shared" si="14"/>
        <v>-4.7637704235576686E-2</v>
      </c>
      <c r="Q158" s="43">
        <f t="shared" si="15"/>
        <v>-3.9230688815262652E-3</v>
      </c>
      <c r="R158" s="43">
        <f t="shared" si="16"/>
        <v>-4.6105853325951761E-2</v>
      </c>
      <c r="T158" s="43">
        <f t="shared" si="13"/>
        <v>-2.5602071949636179E-2</v>
      </c>
      <c r="U158" s="43"/>
      <c r="V158" s="43">
        <f t="shared" si="17"/>
        <v>-2.688796406581875E-2</v>
      </c>
      <c r="X158" s="43">
        <v>5.4649232886694321E-4</v>
      </c>
      <c r="Y158" s="43"/>
      <c r="Z158" s="43">
        <f t="shared" si="18"/>
        <v>-7.3939978731562823E-4</v>
      </c>
    </row>
    <row r="159" spans="12:26">
      <c r="L159" s="47">
        <v>7.4020717808763584E-2</v>
      </c>
      <c r="M159" s="43">
        <v>-1.7828818443804035E-2</v>
      </c>
      <c r="N159" s="43">
        <v>-1.9230769230769232E-2</v>
      </c>
      <c r="P159" s="43">
        <f t="shared" si="14"/>
        <v>7.2734825692581009E-2</v>
      </c>
      <c r="Q159" s="43">
        <f t="shared" si="15"/>
        <v>-1.9114710559986606E-2</v>
      </c>
      <c r="R159" s="43">
        <f t="shared" si="16"/>
        <v>-2.0516661346951803E-2</v>
      </c>
      <c r="T159" s="43">
        <f t="shared" si="13"/>
        <v>3.0687321035494956E-3</v>
      </c>
      <c r="U159" s="43"/>
      <c r="V159" s="43">
        <f t="shared" si="17"/>
        <v>1.7828399873669242E-3</v>
      </c>
      <c r="X159" s="43">
        <v>1.9302894827342154E-2</v>
      </c>
      <c r="Y159" s="43"/>
      <c r="Z159" s="43">
        <f t="shared" si="18"/>
        <v>1.8017002711159583E-2</v>
      </c>
    </row>
    <row r="160" spans="12:26">
      <c r="L160" s="47">
        <v>1.671133277736845E-2</v>
      </c>
      <c r="M160" s="43">
        <v>7.2302204080003901E-2</v>
      </c>
      <c r="N160" s="43">
        <v>-0.13843139947629443</v>
      </c>
      <c r="P160" s="43">
        <f t="shared" si="14"/>
        <v>1.5425440661185879E-2</v>
      </c>
      <c r="Q160" s="43">
        <f t="shared" si="15"/>
        <v>7.1016311963821327E-2</v>
      </c>
      <c r="R160" s="43">
        <f t="shared" si="16"/>
        <v>-0.13971729159247701</v>
      </c>
      <c r="T160" s="43">
        <f t="shared" si="13"/>
        <v>-4.6300255625049344E-3</v>
      </c>
      <c r="U160" s="43"/>
      <c r="V160" s="43">
        <f t="shared" si="17"/>
        <v>-5.9159176786875061E-3</v>
      </c>
      <c r="X160" s="43">
        <v>2.2188174774546043E-2</v>
      </c>
      <c r="Y160" s="43"/>
      <c r="Z160" s="43">
        <f t="shared" si="18"/>
        <v>2.0902282658363473E-2</v>
      </c>
    </row>
    <row r="161" spans="12:26">
      <c r="L161" s="47">
        <v>-7.1982675095523042E-4</v>
      </c>
      <c r="M161" s="43">
        <v>-5.7386004557168958E-4</v>
      </c>
      <c r="N161" s="43">
        <v>-8.6480943398798138E-3</v>
      </c>
      <c r="P161" s="43">
        <f t="shared" si="14"/>
        <v>-2.0057188671378018E-3</v>
      </c>
      <c r="Q161" s="43">
        <f t="shared" si="15"/>
        <v>-1.8597521617542611E-3</v>
      </c>
      <c r="R161" s="43">
        <f t="shared" si="16"/>
        <v>-9.9339864560623846E-3</v>
      </c>
      <c r="T161" s="43">
        <f t="shared" si="13"/>
        <v>-3.0609125739282121E-3</v>
      </c>
      <c r="U161" s="43"/>
      <c r="V161" s="43">
        <f t="shared" si="17"/>
        <v>-4.3468046901107837E-3</v>
      </c>
      <c r="X161" s="43">
        <v>2.8082601368405458E-2</v>
      </c>
      <c r="Y161" s="43"/>
      <c r="Z161" s="43">
        <f t="shared" si="18"/>
        <v>2.6796709252222887E-2</v>
      </c>
    </row>
    <row r="162" spans="12:26">
      <c r="L162" s="47">
        <v>4.202166770007146E-3</v>
      </c>
      <c r="M162" s="43">
        <v>2.7991056091518128E-3</v>
      </c>
      <c r="N162" s="43">
        <v>-5.6014746659359543E-2</v>
      </c>
      <c r="P162" s="43">
        <f t="shared" si="14"/>
        <v>2.9162746538245743E-3</v>
      </c>
      <c r="Q162" s="43">
        <f t="shared" si="15"/>
        <v>1.5132134929692414E-3</v>
      </c>
      <c r="R162" s="43">
        <f t="shared" si="16"/>
        <v>-5.7300638775542118E-2</v>
      </c>
      <c r="T162" s="43">
        <f t="shared" si="13"/>
        <v>-1.4744363789683235E-2</v>
      </c>
      <c r="U162" s="43"/>
      <c r="V162" s="43">
        <f t="shared" si="17"/>
        <v>-1.6030255905865806E-2</v>
      </c>
      <c r="X162" s="43">
        <v>9.8316198188534987E-3</v>
      </c>
      <c r="Y162" s="43"/>
      <c r="Z162" s="43">
        <f t="shared" si="18"/>
        <v>8.5457277026709279E-3</v>
      </c>
    </row>
    <row r="163" spans="12:26">
      <c r="L163" s="47">
        <v>4.3759011104946864E-2</v>
      </c>
      <c r="M163" s="43">
        <v>-1.0950463540864657E-2</v>
      </c>
      <c r="N163" s="43">
        <v>0.33657588793992521</v>
      </c>
      <c r="P163" s="43">
        <f t="shared" si="14"/>
        <v>4.247311898876429E-2</v>
      </c>
      <c r="Q163" s="43">
        <f t="shared" si="15"/>
        <v>-1.2236355657047228E-2</v>
      </c>
      <c r="R163" s="43">
        <f t="shared" si="16"/>
        <v>0.33528999582374264</v>
      </c>
      <c r="T163" s="43">
        <f t="shared" si="13"/>
        <v>0.10733838887648756</v>
      </c>
      <c r="U163" s="43"/>
      <c r="V163" s="43">
        <f t="shared" si="17"/>
        <v>0.10605249676030498</v>
      </c>
      <c r="X163" s="43">
        <v>5.6178724645703726E-2</v>
      </c>
      <c r="Y163" s="43"/>
      <c r="Z163" s="43">
        <f t="shared" si="18"/>
        <v>5.4892832529521152E-2</v>
      </c>
    </row>
    <row r="164" spans="12:26">
      <c r="L164" s="47">
        <v>-0.13241700783371871</v>
      </c>
      <c r="M164" s="43">
        <v>-6.0134578564156695E-2</v>
      </c>
      <c r="N164" s="43">
        <v>-0.11863174247405887</v>
      </c>
      <c r="P164" s="43">
        <f t="shared" si="14"/>
        <v>-0.13370289994990128</v>
      </c>
      <c r="Q164" s="43">
        <f t="shared" si="15"/>
        <v>-6.1420470680339269E-2</v>
      </c>
      <c r="R164" s="43">
        <f t="shared" si="16"/>
        <v>-0.11991763459024145</v>
      </c>
      <c r="T164" s="43">
        <f t="shared" si="13"/>
        <v>-9.4688421970595252E-2</v>
      </c>
      <c r="U164" s="43"/>
      <c r="V164" s="43">
        <f t="shared" si="17"/>
        <v>-9.5974314086777826E-2</v>
      </c>
      <c r="X164" s="43">
        <v>-3.8947379604151844E-2</v>
      </c>
      <c r="Y164" s="43"/>
      <c r="Z164" s="43">
        <f t="shared" si="18"/>
        <v>-4.0233271720334418E-2</v>
      </c>
    </row>
    <row r="165" spans="12:26">
      <c r="L165" s="47">
        <v>-1.4919425472528386E-2</v>
      </c>
      <c r="M165" s="43">
        <v>-1.3320071768468679E-2</v>
      </c>
      <c r="N165" s="43">
        <v>-0.1701073100201563</v>
      </c>
      <c r="P165" s="43">
        <f t="shared" si="14"/>
        <v>-1.6205317588710959E-2</v>
      </c>
      <c r="Q165" s="43">
        <f t="shared" si="15"/>
        <v>-1.4605963884651249E-2</v>
      </c>
      <c r="R165" s="43">
        <f t="shared" si="16"/>
        <v>-0.17139320213633888</v>
      </c>
      <c r="T165" s="43">
        <f t="shared" si="13"/>
        <v>-6.1327471328436994E-2</v>
      </c>
      <c r="U165" s="43"/>
      <c r="V165" s="43">
        <f t="shared" si="17"/>
        <v>-6.2613363444619569E-2</v>
      </c>
      <c r="X165" s="43">
        <v>-2.6884513768364204E-2</v>
      </c>
      <c r="Y165" s="43"/>
      <c r="Z165" s="43">
        <f t="shared" si="18"/>
        <v>-2.8170405884546775E-2</v>
      </c>
    </row>
    <row r="166" spans="12:26">
      <c r="L166" s="47">
        <v>4.2085502800716865E-2</v>
      </c>
      <c r="M166" s="43">
        <v>-1.29535396939288E-2</v>
      </c>
      <c r="N166" s="43">
        <v>8.2587055517793426E-2</v>
      </c>
      <c r="P166" s="43">
        <f t="shared" si="14"/>
        <v>4.079961068453429E-2</v>
      </c>
      <c r="Q166" s="43">
        <f t="shared" si="15"/>
        <v>-1.4239431810111371E-2</v>
      </c>
      <c r="R166" s="43">
        <f t="shared" si="16"/>
        <v>8.1301163401610851E-2</v>
      </c>
      <c r="T166" s="43">
        <f t="shared" si="13"/>
        <v>2.8851904675798439E-2</v>
      </c>
      <c r="U166" s="43"/>
      <c r="V166" s="43">
        <f t="shared" si="17"/>
        <v>2.7566012559615868E-2</v>
      </c>
      <c r="X166" s="43">
        <v>2.718801001185378E-3</v>
      </c>
      <c r="Y166" s="43"/>
      <c r="Z166" s="43">
        <f t="shared" si="18"/>
        <v>1.4329088850028066E-3</v>
      </c>
    </row>
    <row r="167" spans="12:26">
      <c r="L167" s="47">
        <v>4.4887432331440914E-2</v>
      </c>
      <c r="M167" s="43">
        <v>-5.4312556195838704E-2</v>
      </c>
      <c r="N167" s="43">
        <v>0.2619484740641348</v>
      </c>
      <c r="P167" s="43">
        <f t="shared" si="14"/>
        <v>4.360154021525834E-2</v>
      </c>
      <c r="Q167" s="43">
        <f t="shared" si="15"/>
        <v>-5.5598448312021279E-2</v>
      </c>
      <c r="R167" s="43">
        <f t="shared" si="16"/>
        <v>0.26066258194795222</v>
      </c>
      <c r="T167" s="43">
        <f t="shared" si="13"/>
        <v>6.4805845058867884E-2</v>
      </c>
      <c r="U167" s="43"/>
      <c r="V167" s="43">
        <f t="shared" si="17"/>
        <v>6.3519952942685309E-2</v>
      </c>
      <c r="X167" s="43">
        <v>2.1608353316591389E-2</v>
      </c>
      <c r="Y167" s="43"/>
      <c r="Z167" s="43">
        <f t="shared" si="18"/>
        <v>2.0322461200408818E-2</v>
      </c>
    </row>
    <row r="168" spans="12:26">
      <c r="L168" s="47">
        <v>1.8340786956477232E-2</v>
      </c>
      <c r="M168" s="43">
        <v>1.4378812504731699E-2</v>
      </c>
      <c r="N168" s="43">
        <v>9.1769866780098117E-2</v>
      </c>
      <c r="P168" s="43">
        <f t="shared" si="14"/>
        <v>1.7054894840294661E-2</v>
      </c>
      <c r="Q168" s="43">
        <f t="shared" si="15"/>
        <v>1.3092920388549128E-2</v>
      </c>
      <c r="R168" s="43">
        <f t="shared" si="16"/>
        <v>9.0483974663915542E-2</v>
      </c>
      <c r="T168" s="43">
        <f t="shared" si="13"/>
        <v>3.8812055727733052E-2</v>
      </c>
      <c r="U168" s="43"/>
      <c r="V168" s="43">
        <f t="shared" si="17"/>
        <v>3.7526163611550478E-2</v>
      </c>
      <c r="X168" s="43">
        <v>4.8424002040461378E-3</v>
      </c>
      <c r="Y168" s="43"/>
      <c r="Z168" s="43">
        <f t="shared" si="18"/>
        <v>3.5565080878635661E-3</v>
      </c>
    </row>
    <row r="169" spans="12:26">
      <c r="L169" s="47">
        <v>-1.4746780746998202E-2</v>
      </c>
      <c r="M169" s="43">
        <v>9.2137862798658682E-2</v>
      </c>
      <c r="N169" s="43">
        <v>0.22281522372156426</v>
      </c>
      <c r="P169" s="43">
        <f t="shared" si="14"/>
        <v>-1.6032672863180775E-2</v>
      </c>
      <c r="Q169" s="43">
        <f t="shared" si="15"/>
        <v>9.0851970682476108E-2</v>
      </c>
      <c r="R169" s="43">
        <f t="shared" si="16"/>
        <v>0.22152933160538169</v>
      </c>
      <c r="T169" s="43">
        <f t="shared" si="13"/>
        <v>0.10702708846131773</v>
      </c>
      <c r="U169" s="43"/>
      <c r="V169" s="43">
        <f t="shared" si="17"/>
        <v>0.10574119634513515</v>
      </c>
      <c r="X169" s="43">
        <v>3.6021586465418753E-2</v>
      </c>
      <c r="Y169" s="43"/>
      <c r="Z169" s="43">
        <f t="shared" si="18"/>
        <v>3.4735694349236179E-2</v>
      </c>
    </row>
    <row r="170" spans="12:26">
      <c r="L170" s="47">
        <v>-1.6439748891744127E-2</v>
      </c>
      <c r="M170" s="43">
        <v>1.6374872464415255E-2</v>
      </c>
      <c r="N170" s="43">
        <v>0.37315876601514703</v>
      </c>
      <c r="P170" s="43">
        <f t="shared" si="14"/>
        <v>-1.7725641007926698E-2</v>
      </c>
      <c r="Q170" s="43">
        <f t="shared" si="15"/>
        <v>1.5088980348232684E-2</v>
      </c>
      <c r="R170" s="43">
        <f t="shared" si="16"/>
        <v>0.37187287389896445</v>
      </c>
      <c r="T170" s="43">
        <f t="shared" si="13"/>
        <v>0.11715709081465993</v>
      </c>
      <c r="U170" s="43"/>
      <c r="V170" s="43">
        <f t="shared" si="17"/>
        <v>0.11587119869847735</v>
      </c>
      <c r="X170" s="43">
        <v>3.0263218631604083E-2</v>
      </c>
      <c r="Y170" s="43"/>
      <c r="Z170" s="43">
        <f t="shared" si="18"/>
        <v>2.8977326515421512E-2</v>
      </c>
    </row>
    <row r="171" spans="12:26">
      <c r="L171" s="47">
        <v>6.0496427402935773E-2</v>
      </c>
      <c r="M171" s="43">
        <v>2.5837075242855931E-2</v>
      </c>
      <c r="N171" s="43">
        <v>0.22725464028670397</v>
      </c>
      <c r="P171" s="43">
        <f t="shared" si="14"/>
        <v>5.9210535286753199E-2</v>
      </c>
      <c r="Q171" s="43">
        <f t="shared" si="15"/>
        <v>2.455118312667336E-2</v>
      </c>
      <c r="R171" s="43">
        <f t="shared" si="16"/>
        <v>0.2259687481705214</v>
      </c>
      <c r="T171" s="43">
        <f t="shared" si="13"/>
        <v>9.5079450836793422E-2</v>
      </c>
      <c r="U171" s="43"/>
      <c r="V171" s="43">
        <f t="shared" si="17"/>
        <v>9.3793558720610848E-2</v>
      </c>
      <c r="X171" s="43">
        <v>4.2943009181395375E-3</v>
      </c>
      <c r="Y171" s="43"/>
      <c r="Z171" s="43">
        <f t="shared" si="18"/>
        <v>3.0084088019569659E-3</v>
      </c>
    </row>
    <row r="172" spans="12:26">
      <c r="L172" s="47">
        <v>-6.280871028858262E-2</v>
      </c>
      <c r="M172" s="43">
        <v>1.3172232382845971E-2</v>
      </c>
      <c r="N172" s="43">
        <v>-0.41048884932723506</v>
      </c>
      <c r="P172" s="43">
        <f t="shared" si="14"/>
        <v>-6.4094602404765194E-2</v>
      </c>
      <c r="Q172" s="43">
        <f t="shared" si="15"/>
        <v>1.18863402666634E-2</v>
      </c>
      <c r="R172" s="43">
        <f t="shared" si="16"/>
        <v>-0.41177474144341764</v>
      </c>
      <c r="T172" s="43">
        <f t="shared" si="13"/>
        <v>-0.13318667659666442</v>
      </c>
      <c r="U172" s="43"/>
      <c r="V172" s="43">
        <f t="shared" si="17"/>
        <v>-0.13447256871284699</v>
      </c>
      <c r="X172" s="43">
        <v>-6.9403358979814644E-2</v>
      </c>
      <c r="Y172" s="43"/>
      <c r="Z172" s="43">
        <f t="shared" si="18"/>
        <v>-7.0689251095997219E-2</v>
      </c>
    </row>
    <row r="173" spans="12:26">
      <c r="L173" s="47">
        <v>-2.2590399659434858E-3</v>
      </c>
      <c r="M173" s="43">
        <v>4.9360583842949689E-2</v>
      </c>
      <c r="N173" s="43">
        <v>0.1696870020835245</v>
      </c>
      <c r="P173" s="43">
        <f t="shared" si="14"/>
        <v>-3.5449320821260575E-3</v>
      </c>
      <c r="Q173" s="43">
        <f t="shared" si="15"/>
        <v>4.8074691726767114E-2</v>
      </c>
      <c r="R173" s="43">
        <f t="shared" si="16"/>
        <v>0.16840110996734192</v>
      </c>
      <c r="T173" s="43">
        <f t="shared" si="13"/>
        <v>7.3935073686474451E-2</v>
      </c>
      <c r="U173" s="43"/>
      <c r="V173" s="43">
        <f t="shared" si="17"/>
        <v>7.2649181570291876E-2</v>
      </c>
      <c r="X173" s="43">
        <v>1.785938179914015E-2</v>
      </c>
      <c r="Y173" s="43"/>
      <c r="Z173" s="43">
        <f t="shared" si="18"/>
        <v>1.657348968295758E-2</v>
      </c>
    </row>
    <row r="174" spans="12:26">
      <c r="L174" s="47">
        <v>-0.14226412023388366</v>
      </c>
      <c r="M174" s="43">
        <v>-0.1215111748561737</v>
      </c>
      <c r="N174" s="43">
        <v>-0.13333334527291832</v>
      </c>
      <c r="P174" s="43">
        <f t="shared" si="14"/>
        <v>-0.14355001235006623</v>
      </c>
      <c r="Q174" s="43">
        <f t="shared" si="15"/>
        <v>-0.12279706697235628</v>
      </c>
      <c r="R174" s="43">
        <f t="shared" si="16"/>
        <v>-0.13461923738910089</v>
      </c>
      <c r="T174" s="43">
        <f t="shared" si="13"/>
        <v>-0.12992100075752561</v>
      </c>
      <c r="U174" s="43"/>
      <c r="V174" s="43">
        <f t="shared" si="17"/>
        <v>-0.13120689287370818</v>
      </c>
      <c r="X174" s="43">
        <v>-9.1776955767217339E-2</v>
      </c>
      <c r="Y174" s="43"/>
      <c r="Z174" s="43">
        <f t="shared" si="18"/>
        <v>-9.3062847883399913E-2</v>
      </c>
    </row>
    <row r="175" spans="12:26">
      <c r="L175" s="47">
        <v>7.4644319631229167E-2</v>
      </c>
      <c r="M175" s="43">
        <v>3.1228195924029322E-2</v>
      </c>
      <c r="N175" s="43">
        <v>0.32231858385866358</v>
      </c>
      <c r="P175" s="43">
        <f t="shared" si="14"/>
        <v>7.3358427515046593E-2</v>
      </c>
      <c r="Q175" s="43">
        <f t="shared" si="15"/>
        <v>2.9942303807846751E-2</v>
      </c>
      <c r="R175" s="43">
        <f t="shared" si="16"/>
        <v>0.321032691742481</v>
      </c>
      <c r="T175" s="43">
        <f t="shared" si="13"/>
        <v>0.12974848505845976</v>
      </c>
      <c r="U175" s="43"/>
      <c r="V175" s="43">
        <f t="shared" si="17"/>
        <v>0.12846259294227719</v>
      </c>
      <c r="X175" s="43">
        <v>7.8684404731036883E-2</v>
      </c>
      <c r="Y175" s="43"/>
      <c r="Z175" s="43">
        <f t="shared" si="18"/>
        <v>7.7398512614854309E-2</v>
      </c>
    </row>
    <row r="176" spans="12:26">
      <c r="L176" s="47">
        <v>7.8466158512334669E-2</v>
      </c>
      <c r="M176" s="43">
        <v>2.6750807857015012E-2</v>
      </c>
      <c r="N176" s="43">
        <v>-3.6050764697562951E-2</v>
      </c>
      <c r="P176" s="43">
        <f t="shared" si="14"/>
        <v>7.7180266396152095E-2</v>
      </c>
      <c r="Q176" s="43">
        <f t="shared" si="15"/>
        <v>2.5464915740832442E-2</v>
      </c>
      <c r="R176" s="43">
        <f t="shared" si="16"/>
        <v>-3.7336656813745525E-2</v>
      </c>
      <c r="T176" s="43">
        <f t="shared" si="13"/>
        <v>1.9676107133519211E-2</v>
      </c>
      <c r="U176" s="43"/>
      <c r="V176" s="43">
        <f t="shared" si="17"/>
        <v>1.839021501733664E-2</v>
      </c>
      <c r="X176" s="43">
        <v>2.9728930143116061E-2</v>
      </c>
      <c r="Y176" s="43"/>
      <c r="Z176" s="43">
        <f t="shared" si="18"/>
        <v>2.8443038026933491E-2</v>
      </c>
    </row>
    <row r="177" spans="12:26">
      <c r="L177" s="47">
        <v>2.2396612676205904E-2</v>
      </c>
      <c r="M177" s="43">
        <v>2.3053234122913879E-2</v>
      </c>
      <c r="N177" s="43">
        <v>8.4572873482642599E-2</v>
      </c>
      <c r="P177" s="43">
        <f t="shared" si="14"/>
        <v>2.1110720560023333E-2</v>
      </c>
      <c r="Q177" s="43">
        <f t="shared" si="15"/>
        <v>2.1767342006731309E-2</v>
      </c>
      <c r="R177" s="43">
        <f t="shared" si="16"/>
        <v>8.3286981366460025E-2</v>
      </c>
      <c r="T177" s="43">
        <f t="shared" si="13"/>
        <v>4.1592084113935161E-2</v>
      </c>
      <c r="U177" s="43"/>
      <c r="V177" s="43">
        <f t="shared" si="17"/>
        <v>4.0306191997752587E-2</v>
      </c>
      <c r="X177" s="43">
        <v>1.7924287751078349E-2</v>
      </c>
      <c r="Y177" s="43"/>
      <c r="Z177" s="43">
        <f t="shared" si="18"/>
        <v>1.6638395634895779E-2</v>
      </c>
    </row>
    <row r="178" spans="12:26">
      <c r="L178" s="47">
        <v>-6.4356961982766255E-3</v>
      </c>
      <c r="M178" s="43">
        <v>1.0086585090702966E-2</v>
      </c>
      <c r="N178" s="43">
        <v>8.2680198477858083E-2</v>
      </c>
      <c r="P178" s="43">
        <f t="shared" si="14"/>
        <v>-7.7215883144591971E-3</v>
      </c>
      <c r="Q178" s="43">
        <f t="shared" si="15"/>
        <v>8.8006929745203955E-3</v>
      </c>
      <c r="R178" s="43">
        <f t="shared" si="16"/>
        <v>8.1394306361675509E-2</v>
      </c>
      <c r="T178" s="43">
        <f t="shared" si="13"/>
        <v>2.830667868043309E-2</v>
      </c>
      <c r="U178" s="43"/>
      <c r="V178" s="43">
        <f t="shared" si="17"/>
        <v>2.7020786564250519E-2</v>
      </c>
      <c r="X178" s="43">
        <v>3.9313434942139347E-2</v>
      </c>
      <c r="Y178" s="43"/>
      <c r="Z178" s="43">
        <f t="shared" si="18"/>
        <v>3.8027542825956773E-2</v>
      </c>
    </row>
    <row r="179" spans="12:26">
      <c r="L179" s="47">
        <v>-0.1184604170507657</v>
      </c>
      <c r="M179" s="43">
        <v>-7.1175660545104047E-2</v>
      </c>
      <c r="N179" s="43">
        <v>-7.9623351442906186E-3</v>
      </c>
      <c r="P179" s="43">
        <f t="shared" si="14"/>
        <v>-0.11974630916694827</v>
      </c>
      <c r="Q179" s="43">
        <f t="shared" si="15"/>
        <v>-7.2461552661286621E-2</v>
      </c>
      <c r="R179" s="43">
        <f t="shared" si="16"/>
        <v>-9.2482272604731894E-3</v>
      </c>
      <c r="T179" s="43">
        <f t="shared" si="13"/>
        <v>-6.2947265608296082E-2</v>
      </c>
      <c r="U179" s="43"/>
      <c r="V179" s="43">
        <f t="shared" si="17"/>
        <v>-6.4233157724478657E-2</v>
      </c>
      <c r="X179" s="43">
        <v>-6.5777726481161536E-2</v>
      </c>
      <c r="Y179" s="43"/>
      <c r="Z179" s="43">
        <f t="shared" si="18"/>
        <v>-6.706361859734411E-2</v>
      </c>
    </row>
    <row r="180" spans="12:26">
      <c r="L180" s="47">
        <v>8.2803460340783952E-2</v>
      </c>
      <c r="M180" s="43">
        <v>6.1990127801526601E-2</v>
      </c>
      <c r="N180" s="43">
        <v>0.10798982153590762</v>
      </c>
      <c r="P180" s="43">
        <f t="shared" si="14"/>
        <v>8.1517568224601378E-2</v>
      </c>
      <c r="Q180" s="43">
        <f t="shared" si="15"/>
        <v>6.0704235685344027E-2</v>
      </c>
      <c r="R180" s="43">
        <f t="shared" si="16"/>
        <v>0.10670392941972505</v>
      </c>
      <c r="T180" s="43">
        <f t="shared" si="13"/>
        <v>8.0798006095199312E-2</v>
      </c>
      <c r="U180" s="43"/>
      <c r="V180" s="43">
        <f t="shared" si="17"/>
        <v>7.9512113979016738E-2</v>
      </c>
      <c r="X180" s="43">
        <v>6.8930183208214979E-2</v>
      </c>
      <c r="Y180" s="43"/>
      <c r="Z180" s="43">
        <f t="shared" si="18"/>
        <v>6.7644291092032405E-2</v>
      </c>
    </row>
    <row r="181" spans="12:26">
      <c r="L181" s="47">
        <v>-2.9622820363146448E-2</v>
      </c>
      <c r="M181" s="43">
        <v>-6.5048805557144096E-2</v>
      </c>
      <c r="N181" s="43">
        <v>2.6341758806508499E-3</v>
      </c>
      <c r="P181" s="43">
        <f t="shared" si="14"/>
        <v>-3.0908712479329019E-2</v>
      </c>
      <c r="Q181" s="43">
        <f t="shared" si="15"/>
        <v>-6.633469767332667E-2</v>
      </c>
      <c r="R181" s="43">
        <f t="shared" si="16"/>
        <v>1.3482837644682784E-3</v>
      </c>
      <c r="T181" s="43">
        <f t="shared" si="13"/>
        <v>-3.6260544914308003E-2</v>
      </c>
      <c r="U181" s="43"/>
      <c r="V181" s="43">
        <f t="shared" si="17"/>
        <v>-3.7546437030490577E-2</v>
      </c>
      <c r="X181" s="43">
        <v>1.3128195366039375E-2</v>
      </c>
      <c r="Y181" s="43"/>
      <c r="Z181" s="43">
        <f t="shared" si="18"/>
        <v>1.1842303249856804E-2</v>
      </c>
    </row>
    <row r="182" spans="12:26">
      <c r="L182" s="47">
        <v>-7.9074733797129926E-2</v>
      </c>
      <c r="M182" s="43">
        <v>-1.4283524749774375E-2</v>
      </c>
      <c r="N182" s="43">
        <v>3.2840721673054768E-2</v>
      </c>
      <c r="P182" s="43">
        <f t="shared" si="14"/>
        <v>-8.03606259133125E-2</v>
      </c>
      <c r="Q182" s="43">
        <f t="shared" si="15"/>
        <v>-1.5569416865956946E-2</v>
      </c>
      <c r="R182" s="43">
        <f t="shared" si="16"/>
        <v>3.1554829556872194E-2</v>
      </c>
      <c r="T182" s="43">
        <f t="shared" si="13"/>
        <v>-1.5007659493640855E-2</v>
      </c>
      <c r="U182" s="43"/>
      <c r="V182" s="43">
        <f t="shared" si="17"/>
        <v>-1.6293551609823428E-2</v>
      </c>
      <c r="X182" s="43">
        <v>-1.8091652742267761E-2</v>
      </c>
      <c r="Y182" s="43"/>
      <c r="Z182" s="43">
        <f t="shared" si="18"/>
        <v>-1.9377544858450332E-2</v>
      </c>
    </row>
    <row r="183" spans="12:26">
      <c r="L183" s="47">
        <v>3.1103930330083823E-2</v>
      </c>
      <c r="M183" s="43">
        <v>7.9464339950983103E-3</v>
      </c>
      <c r="N183" s="43">
        <v>-7.8219425505392792E-2</v>
      </c>
      <c r="P183" s="43">
        <f t="shared" si="14"/>
        <v>2.9818038213901252E-2</v>
      </c>
      <c r="Q183" s="43">
        <f t="shared" si="15"/>
        <v>6.6605418789157387E-3</v>
      </c>
      <c r="R183" s="43">
        <f t="shared" si="16"/>
        <v>-7.9505317621575367E-2</v>
      </c>
      <c r="T183" s="43">
        <f t="shared" si="13"/>
        <v>-1.2856855256147933E-2</v>
      </c>
      <c r="U183" s="43"/>
      <c r="V183" s="43">
        <f t="shared" si="17"/>
        <v>-1.4142747372330504E-2</v>
      </c>
      <c r="X183" s="43">
        <v>1.7181167690656807E-2</v>
      </c>
      <c r="Y183" s="43"/>
      <c r="Z183" s="43">
        <f t="shared" si="18"/>
        <v>1.5895275574474236E-2</v>
      </c>
    </row>
    <row r="184" spans="12:26">
      <c r="L184" s="47">
        <v>-4.3053404464659835E-2</v>
      </c>
      <c r="M184" s="43">
        <v>2.0559501491205143E-2</v>
      </c>
      <c r="N184" s="43">
        <v>0.17040360721144904</v>
      </c>
      <c r="P184" s="43">
        <f t="shared" si="14"/>
        <v>-4.4339296580842409E-2</v>
      </c>
      <c r="Q184" s="43">
        <f t="shared" si="15"/>
        <v>1.9273609375022573E-2</v>
      </c>
      <c r="R184" s="43">
        <f t="shared" si="16"/>
        <v>0.16911771509526646</v>
      </c>
      <c r="T184" s="43">
        <f t="shared" si="13"/>
        <v>5.1317920634476433E-2</v>
      </c>
      <c r="U184" s="43"/>
      <c r="V184" s="43">
        <f t="shared" si="17"/>
        <v>5.0032028518293858E-2</v>
      </c>
      <c r="X184" s="43">
        <v>2.0431747482144935E-2</v>
      </c>
      <c r="Y184" s="43"/>
      <c r="Z184" s="43">
        <f t="shared" si="18"/>
        <v>1.9145855365962364E-2</v>
      </c>
    </row>
    <row r="185" spans="12:26">
      <c r="L185" s="47">
        <v>8.2876655486598307E-3</v>
      </c>
      <c r="M185" s="43">
        <v>4.1275465647904006E-2</v>
      </c>
      <c r="N185" s="43">
        <v>0.15384618843952239</v>
      </c>
      <c r="P185" s="43">
        <f t="shared" si="14"/>
        <v>7.0017734324772591E-3</v>
      </c>
      <c r="Q185" s="43">
        <f t="shared" si="15"/>
        <v>3.9989573531721431E-2</v>
      </c>
      <c r="R185" s="43">
        <f t="shared" si="16"/>
        <v>0.15256029632333981</v>
      </c>
      <c r="T185" s="43">
        <f t="shared" si="13"/>
        <v>6.7819076377591297E-2</v>
      </c>
      <c r="U185" s="43"/>
      <c r="V185" s="43">
        <f t="shared" si="17"/>
        <v>6.6533184261408723E-2</v>
      </c>
      <c r="X185" s="43">
        <v>3.404706409091518E-2</v>
      </c>
      <c r="Y185" s="43"/>
      <c r="Z185" s="43">
        <f t="shared" si="18"/>
        <v>3.2761171974732606E-2</v>
      </c>
    </row>
    <row r="186" spans="12:26">
      <c r="L186" s="47">
        <v>2.4218429361467918E-2</v>
      </c>
      <c r="M186" s="43">
        <v>6.0949809362252784E-2</v>
      </c>
      <c r="N186" s="43">
        <v>0.17139205167175325</v>
      </c>
      <c r="P186" s="43">
        <f t="shared" si="14"/>
        <v>2.2932537245285347E-2</v>
      </c>
      <c r="Q186" s="43">
        <f t="shared" si="15"/>
        <v>5.966391724607021E-2</v>
      </c>
      <c r="R186" s="43">
        <f t="shared" si="16"/>
        <v>0.17010615955557068</v>
      </c>
      <c r="T186" s="43">
        <f t="shared" si="13"/>
        <v>8.59776338124916E-2</v>
      </c>
      <c r="U186" s="43"/>
      <c r="V186" s="43">
        <f t="shared" si="17"/>
        <v>8.4691741696309025E-2</v>
      </c>
      <c r="X186" s="43">
        <v>2.8589803182446305E-2</v>
      </c>
      <c r="Y186" s="43"/>
      <c r="Z186" s="43">
        <f t="shared" si="18"/>
        <v>2.7303911066263734E-2</v>
      </c>
    </row>
    <row r="187" spans="12:26">
      <c r="L187" s="47">
        <v>-0.10977357382363219</v>
      </c>
      <c r="M187" s="43">
        <v>2.0566258315083179E-2</v>
      </c>
      <c r="N187" s="43">
        <v>2.4858250642742375E-2</v>
      </c>
      <c r="P187" s="43">
        <f t="shared" si="14"/>
        <v>-0.11105946593981476</v>
      </c>
      <c r="Q187" s="43">
        <f t="shared" si="15"/>
        <v>1.9280366198900608E-2</v>
      </c>
      <c r="R187" s="43">
        <f t="shared" si="16"/>
        <v>2.3572358526559804E-2</v>
      </c>
      <c r="T187" s="43">
        <f t="shared" si="13"/>
        <v>-8.3890077174822233E-3</v>
      </c>
      <c r="U187" s="43"/>
      <c r="V187" s="43">
        <f t="shared" si="17"/>
        <v>-9.6748998336647941E-3</v>
      </c>
      <c r="X187" s="43">
        <v>-1.6280898111292741E-3</v>
      </c>
      <c r="Y187" s="43"/>
      <c r="Z187" s="43">
        <f t="shared" si="18"/>
        <v>-2.9139819273118458E-3</v>
      </c>
    </row>
    <row r="188" spans="12:26">
      <c r="L188" s="47">
        <v>-0.17192531372845826</v>
      </c>
      <c r="M188" s="43">
        <v>-9.6661515830110137E-2</v>
      </c>
      <c r="N188" s="43">
        <v>-3.2340435271567484E-2</v>
      </c>
      <c r="P188" s="43">
        <f t="shared" si="14"/>
        <v>-0.17321120584464084</v>
      </c>
      <c r="Q188" s="43">
        <f t="shared" si="15"/>
        <v>-9.7947407946292711E-2</v>
      </c>
      <c r="R188" s="43">
        <f t="shared" si="16"/>
        <v>-3.3626327387750059E-2</v>
      </c>
      <c r="T188" s="43">
        <f t="shared" si="13"/>
        <v>-9.4592082127576263E-2</v>
      </c>
      <c r="U188" s="43"/>
      <c r="V188" s="43">
        <f t="shared" si="17"/>
        <v>-9.5877974243758837E-2</v>
      </c>
      <c r="X188" s="43">
        <v>-8.4110469009648137E-2</v>
      </c>
      <c r="Y188" s="43"/>
      <c r="Z188" s="43">
        <f t="shared" si="18"/>
        <v>-8.5396361125830711E-2</v>
      </c>
    </row>
    <row r="189" spans="12:26">
      <c r="L189" s="47">
        <v>-0.2618584324574979</v>
      </c>
      <c r="M189" s="43">
        <v>-2.4910700112704905E-2</v>
      </c>
      <c r="N189" s="43">
        <v>0</v>
      </c>
      <c r="P189" s="43">
        <f t="shared" si="14"/>
        <v>-0.26314432457368048</v>
      </c>
      <c r="Q189" s="43">
        <f t="shared" si="15"/>
        <v>-2.6196592228887476E-2</v>
      </c>
      <c r="R189" s="43">
        <f t="shared" si="16"/>
        <v>-1.2858921161825714E-3</v>
      </c>
      <c r="T189" s="43">
        <f t="shared" si="13"/>
        <v>-7.235121450231935E-2</v>
      </c>
      <c r="U189" s="43"/>
      <c r="V189" s="43">
        <f t="shared" si="17"/>
        <v>-7.3637106618501924E-2</v>
      </c>
      <c r="X189" s="43">
        <v>-0.12511932083595656</v>
      </c>
      <c r="Y189" s="43"/>
      <c r="Z189" s="43">
        <f t="shared" si="18"/>
        <v>-0.12640521295213913</v>
      </c>
    </row>
    <row r="190" spans="12:26">
      <c r="L190" s="47">
        <v>0.22386093565267992</v>
      </c>
      <c r="M190" s="43">
        <v>0.14420794401875972</v>
      </c>
      <c r="N190" s="43">
        <v>0.15193491462098491</v>
      </c>
      <c r="P190" s="43">
        <f t="shared" si="14"/>
        <v>0.22257504353649735</v>
      </c>
      <c r="Q190" s="43">
        <f t="shared" si="15"/>
        <v>0.14292205190257715</v>
      </c>
      <c r="R190" s="43">
        <f t="shared" si="16"/>
        <v>0.15064902250480233</v>
      </c>
      <c r="T190" s="43">
        <f t="shared" si="13"/>
        <v>0.1650475901470585</v>
      </c>
      <c r="U190" s="43"/>
      <c r="V190" s="43">
        <f t="shared" si="17"/>
        <v>0.16376169803087592</v>
      </c>
      <c r="X190" s="43">
        <v>0.12684410293315374</v>
      </c>
      <c r="Y190" s="43"/>
      <c r="Z190" s="43">
        <f t="shared" si="18"/>
        <v>0.12555821081697116</v>
      </c>
    </row>
    <row r="191" spans="12:26">
      <c r="L191" s="47">
        <v>-2.1519259172183624E-2</v>
      </c>
      <c r="M191" s="43">
        <v>-8.5976629155983704E-3</v>
      </c>
      <c r="N191" s="43">
        <v>2.6913530518015361E-2</v>
      </c>
      <c r="P191" s="43">
        <f t="shared" si="14"/>
        <v>-2.2805151288366195E-2</v>
      </c>
      <c r="Q191" s="43">
        <f t="shared" si="15"/>
        <v>-9.8835550317809412E-3</v>
      </c>
      <c r="R191" s="43">
        <f t="shared" si="16"/>
        <v>2.562763840183279E-2</v>
      </c>
      <c r="T191" s="43">
        <f t="shared" si="13"/>
        <v>-8.0826290517819165E-4</v>
      </c>
      <c r="U191" s="43"/>
      <c r="V191" s="43">
        <f t="shared" si="17"/>
        <v>-2.0941550213607633E-3</v>
      </c>
      <c r="X191" s="43">
        <v>4.528177501261843E-2</v>
      </c>
      <c r="Y191" s="43"/>
      <c r="Z191" s="43">
        <f t="shared" si="18"/>
        <v>4.3995882896435856E-2</v>
      </c>
    </row>
    <row r="192" spans="12:26">
      <c r="L192" s="47">
        <v>-1.6494391463937646E-2</v>
      </c>
      <c r="M192" s="43">
        <v>-5.4588202468487397E-2</v>
      </c>
      <c r="N192" s="43">
        <v>-2.2118933895620665E-2</v>
      </c>
      <c r="P192" s="43">
        <f t="shared" si="14"/>
        <v>-1.7780283580120217E-2</v>
      </c>
      <c r="Q192" s="43">
        <f t="shared" si="15"/>
        <v>-5.5874094584669971E-2</v>
      </c>
      <c r="R192" s="43">
        <f t="shared" si="16"/>
        <v>-2.3404826011803236E-2</v>
      </c>
      <c r="T192" s="43">
        <f t="shared" si="13"/>
        <v>-3.5879442570070377E-2</v>
      </c>
      <c r="U192" s="43"/>
      <c r="V192" s="43">
        <f t="shared" si="17"/>
        <v>-3.7165334686252952E-2</v>
      </c>
      <c r="X192" s="43">
        <v>1.8388403283502663E-2</v>
      </c>
      <c r="Y192" s="43"/>
      <c r="Z192" s="43">
        <f t="shared" si="18"/>
        <v>1.7102511167320093E-2</v>
      </c>
    </row>
    <row r="193" spans="12:26">
      <c r="L193" s="47">
        <v>-5.9033974006830969E-2</v>
      </c>
      <c r="M193" s="43">
        <v>3.6478627930776768E-2</v>
      </c>
      <c r="N193" s="43">
        <v>0.47177341583114574</v>
      </c>
      <c r="P193" s="43">
        <f t="shared" si="14"/>
        <v>-6.0319866123013544E-2</v>
      </c>
      <c r="Q193" s="43">
        <f t="shared" si="15"/>
        <v>3.5192735814594193E-2</v>
      </c>
      <c r="R193" s="43">
        <f t="shared" si="16"/>
        <v>0.47048752371496316</v>
      </c>
      <c r="T193" s="43">
        <f t="shared" si="13"/>
        <v>0.14655876042925958</v>
      </c>
      <c r="U193" s="43"/>
      <c r="V193" s="43">
        <f t="shared" si="17"/>
        <v>0.14527286831307701</v>
      </c>
      <c r="X193" s="43">
        <v>5.5101296975444303E-2</v>
      </c>
      <c r="Y193" s="43"/>
      <c r="Z193" s="43">
        <f t="shared" si="18"/>
        <v>5.3815404859261728E-2</v>
      </c>
    </row>
    <row r="194" spans="12:26">
      <c r="L194" s="47">
        <v>-5.0855587243971996E-2</v>
      </c>
      <c r="M194" s="43">
        <v>5.2483599365906006E-2</v>
      </c>
      <c r="N194" s="43">
        <v>0.17293038017401877</v>
      </c>
      <c r="P194" s="43">
        <f t="shared" si="14"/>
        <v>-5.214147936015457E-2</v>
      </c>
      <c r="Q194" s="43">
        <f t="shared" si="15"/>
        <v>5.1197707249723431E-2</v>
      </c>
      <c r="R194" s="43">
        <f t="shared" si="16"/>
        <v>0.17164448805783619</v>
      </c>
      <c r="T194" s="43">
        <f t="shared" si="13"/>
        <v>6.508760709253876E-2</v>
      </c>
      <c r="U194" s="43"/>
      <c r="V194" s="43">
        <f t="shared" si="17"/>
        <v>6.3801714976356186E-2</v>
      </c>
      <c r="X194" s="43">
        <v>7.0064687324219221E-2</v>
      </c>
      <c r="Y194" s="43"/>
      <c r="Z194" s="43">
        <f t="shared" si="18"/>
        <v>6.8778795208036647E-2</v>
      </c>
    </row>
    <row r="195" spans="12:26">
      <c r="L195" s="47">
        <v>-0.14046061563714568</v>
      </c>
      <c r="M195" s="43">
        <v>-2.9528705241897702E-2</v>
      </c>
      <c r="N195" s="43">
        <v>-9.7225301263218392E-2</v>
      </c>
      <c r="P195" s="43">
        <f t="shared" si="14"/>
        <v>-0.14174650775332825</v>
      </c>
      <c r="Q195" s="43">
        <f t="shared" si="15"/>
        <v>-3.0814597358080273E-2</v>
      </c>
      <c r="R195" s="43">
        <f t="shared" si="16"/>
        <v>-9.8511193379400966E-2</v>
      </c>
      <c r="T195" s="43">
        <f t="shared" si="13"/>
        <v>-7.5850321063828094E-2</v>
      </c>
      <c r="U195" s="43"/>
      <c r="V195" s="43">
        <f t="shared" si="17"/>
        <v>-7.7136213180010668E-2</v>
      </c>
      <c r="X195" s="43">
        <v>-3.9227954095494399E-2</v>
      </c>
      <c r="Y195" s="43"/>
      <c r="Z195" s="43">
        <f t="shared" si="18"/>
        <v>-4.0513846211676974E-2</v>
      </c>
    </row>
    <row r="196" spans="12:26">
      <c r="L196" s="47">
        <v>-4.9810743022537934E-2</v>
      </c>
      <c r="M196" s="43">
        <v>-7.905698472891258E-2</v>
      </c>
      <c r="N196" s="43">
        <v>-8.1717247503464582E-2</v>
      </c>
      <c r="P196" s="43">
        <f t="shared" si="14"/>
        <v>-5.1096635138720509E-2</v>
      </c>
      <c r="Q196" s="43">
        <f t="shared" si="15"/>
        <v>-8.0342876845095154E-2</v>
      </c>
      <c r="R196" s="43">
        <f t="shared" si="16"/>
        <v>-8.3003139619647157E-2</v>
      </c>
      <c r="T196" s="43">
        <f t="shared" si="13"/>
        <v>-7.3075527010524707E-2</v>
      </c>
      <c r="U196" s="43"/>
      <c r="V196" s="43">
        <f t="shared" si="17"/>
        <v>-7.4361419126707282E-2</v>
      </c>
      <c r="X196" s="43">
        <v>-2.7665774606006499E-2</v>
      </c>
      <c r="Y196" s="43"/>
      <c r="Z196" s="43">
        <f t="shared" si="18"/>
        <v>-2.895166672218907E-2</v>
      </c>
    </row>
    <row r="197" spans="12:26">
      <c r="L197" s="47">
        <v>0.16891484723025721</v>
      </c>
      <c r="M197" s="43">
        <v>5.521108622078269E-2</v>
      </c>
      <c r="N197" s="43">
        <v>0.23070796301451166</v>
      </c>
      <c r="P197" s="43">
        <f t="shared" si="14"/>
        <v>0.16762895511407463</v>
      </c>
      <c r="Q197" s="43">
        <f t="shared" si="15"/>
        <v>5.3925194104600116E-2</v>
      </c>
      <c r="R197" s="43">
        <f t="shared" si="16"/>
        <v>0.22942207089832908</v>
      </c>
      <c r="T197" s="43">
        <f t="shared" si="13"/>
        <v>0.13492877497573166</v>
      </c>
      <c r="U197" s="43"/>
      <c r="V197" s="43">
        <f t="shared" si="17"/>
        <v>0.13364288285954909</v>
      </c>
      <c r="X197" s="43">
        <v>0.10754565805086314</v>
      </c>
      <c r="Y197" s="43"/>
      <c r="Z197" s="43">
        <f t="shared" si="18"/>
        <v>0.10625976593468056</v>
      </c>
    </row>
    <row r="198" spans="12:26">
      <c r="L198" s="47">
        <v>8.1038554052698039E-2</v>
      </c>
      <c r="M198" s="43">
        <v>8.7780016933586502E-2</v>
      </c>
      <c r="N198" s="43">
        <v>-1.025258515098889E-2</v>
      </c>
      <c r="P198" s="43">
        <f t="shared" si="14"/>
        <v>7.9752661936515465E-2</v>
      </c>
      <c r="Q198" s="43">
        <f t="shared" si="15"/>
        <v>8.6494124817403928E-2</v>
      </c>
      <c r="R198" s="43">
        <f t="shared" si="16"/>
        <v>-1.153847726717146E-2</v>
      </c>
      <c r="T198" s="43">
        <f t="shared" si="13"/>
        <v>5.6430049702031769E-2</v>
      </c>
      <c r="U198" s="43"/>
      <c r="V198" s="43">
        <f t="shared" si="17"/>
        <v>5.5144157585849195E-2</v>
      </c>
      <c r="X198" s="43">
        <v>3.712140665943231E-2</v>
      </c>
      <c r="Y198" s="43"/>
      <c r="Z198" s="43">
        <f t="shared" si="18"/>
        <v>3.5835514543249736E-2</v>
      </c>
    </row>
    <row r="199" spans="12:26">
      <c r="L199" s="47">
        <v>8.7821417386726996E-2</v>
      </c>
      <c r="M199" s="43">
        <v>3.6535772154039109E-2</v>
      </c>
      <c r="N199" s="43">
        <v>-6.6186890801658779E-2</v>
      </c>
      <c r="P199" s="43">
        <f t="shared" si="14"/>
        <v>8.6535525270544422E-2</v>
      </c>
      <c r="Q199" s="43">
        <f t="shared" si="15"/>
        <v>3.5249880037856535E-2</v>
      </c>
      <c r="R199" s="43">
        <f t="shared" si="16"/>
        <v>-6.7472782917841354E-2</v>
      </c>
      <c r="T199" s="43">
        <f t="shared" ref="T199:T246" si="19">$L$3*L199+$M$3*M199+$N$3*N199</f>
        <v>1.7232232089023403E-2</v>
      </c>
      <c r="U199" s="43"/>
      <c r="V199" s="43">
        <f t="shared" si="17"/>
        <v>1.5946339972840833E-2</v>
      </c>
      <c r="X199" s="43">
        <v>-1.1136640158463607E-2</v>
      </c>
      <c r="Y199" s="43"/>
      <c r="Z199" s="43">
        <f t="shared" si="18"/>
        <v>-1.2422532274646177E-2</v>
      </c>
    </row>
    <row r="200" spans="12:26">
      <c r="L200" s="47">
        <v>0.21253342432798503</v>
      </c>
      <c r="M200" s="43">
        <v>-2.8627462938532328E-2</v>
      </c>
      <c r="N200" s="43">
        <v>-1.3194736822412389E-2</v>
      </c>
      <c r="P200" s="43">
        <f t="shared" ref="P200:P246" si="20">L200-$Q$3</f>
        <v>0.21124753221180245</v>
      </c>
      <c r="Q200" s="43">
        <f t="shared" ref="Q200:Q246" si="21">M200-$Q$3</f>
        <v>-2.9913355054714898E-2</v>
      </c>
      <c r="R200" s="43">
        <f t="shared" ref="R200:R246" si="22">N200-$Q$3</f>
        <v>-1.4480628938594959E-2</v>
      </c>
      <c r="T200" s="43">
        <f t="shared" si="19"/>
        <v>3.2048561323051984E-2</v>
      </c>
      <c r="U200" s="43"/>
      <c r="V200" s="43">
        <f t="shared" ref="V200:V246" si="23">T200-$Q$3</f>
        <v>3.0762669206869413E-2</v>
      </c>
      <c r="X200" s="43">
        <v>2.6091474971999817E-2</v>
      </c>
      <c r="Y200" s="43"/>
      <c r="Z200" s="43">
        <f t="shared" ref="Z200:Z246" si="24">X200-$Q$3</f>
        <v>2.4805582855817247E-2</v>
      </c>
    </row>
    <row r="201" spans="12:26">
      <c r="L201" s="47">
        <v>2.6853097808573197E-2</v>
      </c>
      <c r="M201" s="43">
        <v>3.7170258362313892E-2</v>
      </c>
      <c r="N201" s="43">
        <v>-7.1115867758970358E-2</v>
      </c>
      <c r="P201" s="43">
        <f t="shared" si="20"/>
        <v>2.5567205692390627E-2</v>
      </c>
      <c r="Q201" s="43">
        <f t="shared" si="21"/>
        <v>3.5884366246131318E-2</v>
      </c>
      <c r="R201" s="43">
        <f t="shared" si="22"/>
        <v>-7.2401759875152932E-2</v>
      </c>
      <c r="T201" s="43">
        <f t="shared" si="19"/>
        <v>1.8748773133575487E-3</v>
      </c>
      <c r="U201" s="43"/>
      <c r="V201" s="43">
        <f t="shared" si="23"/>
        <v>5.8898519717497729E-4</v>
      </c>
      <c r="X201" s="43">
        <v>4.2438634008107767E-2</v>
      </c>
      <c r="Y201" s="43"/>
      <c r="Z201" s="43">
        <f t="shared" si="24"/>
        <v>4.1152741891925193E-2</v>
      </c>
    </row>
    <row r="202" spans="12:26">
      <c r="L202" s="47">
        <v>2.525523555737761E-2</v>
      </c>
      <c r="M202" s="43">
        <v>-9.8570752407286261E-3</v>
      </c>
      <c r="N202" s="43">
        <v>3.974525791824244E-2</v>
      </c>
      <c r="P202" s="43">
        <f t="shared" si="20"/>
        <v>2.3969343441195039E-2</v>
      </c>
      <c r="Q202" s="43">
        <f t="shared" si="21"/>
        <v>-1.1142967356911197E-2</v>
      </c>
      <c r="R202" s="43">
        <f t="shared" si="22"/>
        <v>3.8459365802059865E-2</v>
      </c>
      <c r="T202" s="43">
        <f t="shared" si="19"/>
        <v>1.3364985870720471E-2</v>
      </c>
      <c r="U202" s="43"/>
      <c r="V202" s="43">
        <f t="shared" si="23"/>
        <v>1.20790937545379E-2</v>
      </c>
      <c r="X202" s="43">
        <v>5.242531255584737E-2</v>
      </c>
      <c r="Y202" s="43"/>
      <c r="Z202" s="43">
        <f t="shared" si="24"/>
        <v>5.1139420439664796E-2</v>
      </c>
    </row>
    <row r="203" spans="12:26">
      <c r="L203" s="47">
        <v>1.9741390990263792E-2</v>
      </c>
      <c r="M203" s="43">
        <v>4.0066394909623576E-2</v>
      </c>
      <c r="N203" s="43">
        <v>-1.8867935110328502E-2</v>
      </c>
      <c r="P203" s="43">
        <f t="shared" si="20"/>
        <v>1.8455498874081221E-2</v>
      </c>
      <c r="Q203" s="43">
        <f t="shared" si="21"/>
        <v>3.8780502793441002E-2</v>
      </c>
      <c r="R203" s="43">
        <f t="shared" si="22"/>
        <v>-2.0153827226511073E-2</v>
      </c>
      <c r="T203" s="43">
        <f t="shared" si="19"/>
        <v>1.7442001770584498E-2</v>
      </c>
      <c r="U203" s="43"/>
      <c r="V203" s="43">
        <f t="shared" si="23"/>
        <v>1.6156109654401927E-2</v>
      </c>
      <c r="X203" s="43">
        <v>5.4865025818131574E-3</v>
      </c>
      <c r="Y203" s="43"/>
      <c r="Z203" s="43">
        <f t="shared" si="24"/>
        <v>4.2006104656305858E-3</v>
      </c>
    </row>
    <row r="204" spans="12:26">
      <c r="L204" s="47">
        <v>8.0692187516849007E-2</v>
      </c>
      <c r="M204" s="43">
        <v>-2.6646939479089735E-2</v>
      </c>
      <c r="N204" s="43">
        <v>0.17295202494301296</v>
      </c>
      <c r="P204" s="43">
        <f t="shared" si="20"/>
        <v>7.9406295400666432E-2</v>
      </c>
      <c r="Q204" s="43">
        <f t="shared" si="21"/>
        <v>-2.7932831595272305E-2</v>
      </c>
      <c r="R204" s="43">
        <f t="shared" si="22"/>
        <v>0.17166613282683038</v>
      </c>
      <c r="T204" s="43">
        <f t="shared" si="19"/>
        <v>5.8916005783164319E-2</v>
      </c>
      <c r="U204" s="43"/>
      <c r="V204" s="43">
        <f t="shared" si="23"/>
        <v>5.7630113666981744E-2</v>
      </c>
      <c r="X204" s="43">
        <v>2.221397632316946E-2</v>
      </c>
      <c r="Y204" s="43"/>
      <c r="Z204" s="43">
        <f t="shared" si="24"/>
        <v>2.0928084206986889E-2</v>
      </c>
    </row>
    <row r="205" spans="12:26">
      <c r="L205" s="47">
        <v>-8.7349428920242347E-2</v>
      </c>
      <c r="M205" s="43">
        <v>4.5283423614962057E-2</v>
      </c>
      <c r="N205" s="43">
        <v>0.13052275201105171</v>
      </c>
      <c r="P205" s="43">
        <f t="shared" si="20"/>
        <v>-8.8635321036424922E-2</v>
      </c>
      <c r="Q205" s="43">
        <f t="shared" si="21"/>
        <v>4.3997531498779482E-2</v>
      </c>
      <c r="R205" s="43">
        <f t="shared" si="22"/>
        <v>0.12923685989486913</v>
      </c>
      <c r="T205" s="43">
        <f t="shared" si="19"/>
        <v>4.0389753039493062E-2</v>
      </c>
      <c r="U205" s="43"/>
      <c r="V205" s="43">
        <f t="shared" si="23"/>
        <v>3.9103860923310488E-2</v>
      </c>
      <c r="X205" s="43">
        <v>2.274810936591054E-2</v>
      </c>
      <c r="Y205" s="43"/>
      <c r="Z205" s="43">
        <f t="shared" si="24"/>
        <v>2.146221724972797E-2</v>
      </c>
    </row>
    <row r="206" spans="12:26">
      <c r="L206" s="47">
        <v>-5.297896913719724E-2</v>
      </c>
      <c r="M206" s="43">
        <v>5.4007430374684801E-3</v>
      </c>
      <c r="N206" s="43">
        <v>4.2659371646558232E-2</v>
      </c>
      <c r="P206" s="43">
        <f t="shared" si="20"/>
        <v>-5.4264861253379815E-2</v>
      </c>
      <c r="Q206" s="43">
        <f t="shared" si="21"/>
        <v>4.1148509212859084E-3</v>
      </c>
      <c r="R206" s="43">
        <f t="shared" si="22"/>
        <v>4.1373479530375658E-2</v>
      </c>
      <c r="T206" s="43">
        <f t="shared" si="19"/>
        <v>3.1676463715028681E-3</v>
      </c>
      <c r="U206" s="43"/>
      <c r="V206" s="43">
        <f t="shared" si="23"/>
        <v>1.8817542553202966E-3</v>
      </c>
      <c r="X206" s="43">
        <v>2.8990321391681118E-2</v>
      </c>
      <c r="Y206" s="43"/>
      <c r="Z206" s="43">
        <f t="shared" si="24"/>
        <v>2.7704429275498547E-2</v>
      </c>
    </row>
    <row r="207" spans="12:26">
      <c r="L207" s="47">
        <v>7.8870124742418724E-2</v>
      </c>
      <c r="M207" s="43">
        <v>-6.7174981544559934E-2</v>
      </c>
      <c r="N207" s="43">
        <v>-7.0628609181788787E-2</v>
      </c>
      <c r="P207" s="43">
        <f t="shared" si="20"/>
        <v>7.7584232626236149E-2</v>
      </c>
      <c r="Q207" s="43">
        <f t="shared" si="21"/>
        <v>-6.8460873660742508E-2</v>
      </c>
      <c r="R207" s="43">
        <f t="shared" si="22"/>
        <v>-7.1914501297971362E-2</v>
      </c>
      <c r="T207" s="43">
        <f t="shared" si="19"/>
        <v>-3.431891103115086E-2</v>
      </c>
      <c r="U207" s="43"/>
      <c r="V207" s="43">
        <f t="shared" si="23"/>
        <v>-3.5604803147333434E-2</v>
      </c>
      <c r="X207" s="43">
        <v>-4.7569140421166334E-2</v>
      </c>
      <c r="Y207" s="43"/>
      <c r="Z207" s="43">
        <f t="shared" si="24"/>
        <v>-4.8855032537348908E-2</v>
      </c>
    </row>
    <row r="208" spans="12:26">
      <c r="L208" s="47">
        <v>9.6055789785664855E-2</v>
      </c>
      <c r="M208" s="43">
        <v>8.544921875E-3</v>
      </c>
      <c r="N208" s="43">
        <v>0.16841595310080018</v>
      </c>
      <c r="P208" s="43">
        <f t="shared" si="20"/>
        <v>9.4769897669482281E-2</v>
      </c>
      <c r="Q208" s="43">
        <f t="shared" si="21"/>
        <v>7.2590297588174283E-3</v>
      </c>
      <c r="R208" s="43">
        <f t="shared" si="22"/>
        <v>0.16713006098461761</v>
      </c>
      <c r="T208" s="43">
        <f t="shared" si="19"/>
        <v>7.7434206690431023E-2</v>
      </c>
      <c r="U208" s="43"/>
      <c r="V208" s="43">
        <f t="shared" si="23"/>
        <v>7.6148314574248449E-2</v>
      </c>
      <c r="X208" s="43">
        <v>6.9143873301234615E-2</v>
      </c>
      <c r="Y208" s="43"/>
      <c r="Z208" s="43">
        <f t="shared" si="24"/>
        <v>6.7857981185052041E-2</v>
      </c>
    </row>
    <row r="209" spans="12:26">
      <c r="L209" s="47">
        <v>-7.1816363897142466E-2</v>
      </c>
      <c r="M209" s="43">
        <v>-4.2669523567558737E-2</v>
      </c>
      <c r="N209" s="43">
        <v>0.31722524074981151</v>
      </c>
      <c r="P209" s="43">
        <f t="shared" si="20"/>
        <v>-7.310225601332504E-2</v>
      </c>
      <c r="Q209" s="43">
        <f t="shared" si="21"/>
        <v>-4.3955415683741311E-2</v>
      </c>
      <c r="R209" s="43">
        <f t="shared" si="22"/>
        <v>0.31593934863362894</v>
      </c>
      <c r="T209" s="43">
        <f t="shared" si="19"/>
        <v>5.9909359914472771E-2</v>
      </c>
      <c r="U209" s="43"/>
      <c r="V209" s="43">
        <f t="shared" si="23"/>
        <v>5.8623467798290196E-2</v>
      </c>
      <c r="X209" s="43">
        <v>-8.3337314184714906E-3</v>
      </c>
      <c r="Y209" s="43"/>
      <c r="Z209" s="43">
        <f t="shared" si="24"/>
        <v>-9.6196235346540614E-3</v>
      </c>
    </row>
    <row r="210" spans="12:26">
      <c r="L210" s="47">
        <v>2.2560134870967419E-2</v>
      </c>
      <c r="M210" s="43">
        <v>9.7094948756378793E-2</v>
      </c>
      <c r="N210" s="43">
        <v>-9.1368325231025602E-2</v>
      </c>
      <c r="P210" s="43">
        <f t="shared" si="20"/>
        <v>2.1274242754784848E-2</v>
      </c>
      <c r="Q210" s="43">
        <f t="shared" si="21"/>
        <v>9.5809056640196219E-2</v>
      </c>
      <c r="R210" s="43">
        <f t="shared" si="22"/>
        <v>-9.2654217347208176E-2</v>
      </c>
      <c r="T210" s="43">
        <f t="shared" si="19"/>
        <v>2.2531066393386975E-2</v>
      </c>
      <c r="U210" s="43"/>
      <c r="V210" s="43">
        <f t="shared" si="23"/>
        <v>2.1245174277204404E-2</v>
      </c>
      <c r="X210" s="43">
        <v>4.3612874972629889E-2</v>
      </c>
      <c r="Y210" s="43"/>
      <c r="Z210" s="43">
        <f t="shared" si="24"/>
        <v>4.2326982856447315E-2</v>
      </c>
    </row>
    <row r="211" spans="12:26">
      <c r="L211" s="47">
        <v>0.24137932324313985</v>
      </c>
      <c r="M211" s="43">
        <v>7.1315011964773935E-3</v>
      </c>
      <c r="N211" s="43">
        <v>-0.20604583150860548</v>
      </c>
      <c r="P211" s="43">
        <f t="shared" si="20"/>
        <v>0.24009343112695727</v>
      </c>
      <c r="Q211" s="43">
        <f t="shared" si="21"/>
        <v>5.8456090802948219E-3</v>
      </c>
      <c r="R211" s="43">
        <f t="shared" si="22"/>
        <v>-0.20733172362478805</v>
      </c>
      <c r="T211" s="43">
        <f t="shared" si="19"/>
        <v>-3.2551560854787304E-3</v>
      </c>
      <c r="U211" s="43"/>
      <c r="V211" s="43">
        <f t="shared" si="23"/>
        <v>-4.541048201661302E-3</v>
      </c>
      <c r="X211" s="43">
        <v>-5.2585089106999772E-2</v>
      </c>
      <c r="Y211" s="43"/>
      <c r="Z211" s="43">
        <f t="shared" si="24"/>
        <v>-5.3870981223182346E-2</v>
      </c>
    </row>
    <row r="212" spans="12:26">
      <c r="L212" s="47">
        <v>3.2385454372333138E-2</v>
      </c>
      <c r="M212" s="43">
        <v>-4.4808092534387632E-2</v>
      </c>
      <c r="N212" s="43">
        <v>7.956233118503829E-2</v>
      </c>
      <c r="P212" s="43">
        <f t="shared" si="20"/>
        <v>3.1099562256150567E-2</v>
      </c>
      <c r="Q212" s="43">
        <f t="shared" si="21"/>
        <v>-4.6093984650570206E-2</v>
      </c>
      <c r="R212" s="43">
        <f t="shared" si="22"/>
        <v>7.8276439068855716E-2</v>
      </c>
      <c r="T212" s="43">
        <f t="shared" si="19"/>
        <v>1.0899934430946657E-2</v>
      </c>
      <c r="U212" s="43"/>
      <c r="V212" s="43">
        <f t="shared" si="23"/>
        <v>9.6140423147640861E-3</v>
      </c>
      <c r="X212" s="43">
        <v>-3.1360520866782648E-2</v>
      </c>
      <c r="Y212" s="43"/>
      <c r="Z212" s="43">
        <f t="shared" si="24"/>
        <v>-3.2646412982965223E-2</v>
      </c>
    </row>
    <row r="213" spans="12:26">
      <c r="L213" s="47">
        <v>5.3175188297781055E-2</v>
      </c>
      <c r="M213" s="43">
        <v>7.6927677218722595E-2</v>
      </c>
      <c r="N213" s="43">
        <v>-0.11350738134973606</v>
      </c>
      <c r="P213" s="43">
        <f t="shared" si="20"/>
        <v>5.1889296181598481E-2</v>
      </c>
      <c r="Q213" s="43">
        <f t="shared" si="21"/>
        <v>7.5641785102540021E-2</v>
      </c>
      <c r="R213" s="43">
        <f t="shared" si="22"/>
        <v>-0.11479327346591864</v>
      </c>
      <c r="T213" s="43">
        <f t="shared" si="19"/>
        <v>1.3554179933481035E-2</v>
      </c>
      <c r="U213" s="43"/>
      <c r="V213" s="43">
        <f t="shared" si="23"/>
        <v>1.2268287817298464E-2</v>
      </c>
      <c r="X213" s="43">
        <v>3.5773238773280092E-2</v>
      </c>
      <c r="Y213" s="43"/>
      <c r="Z213" s="43">
        <f t="shared" si="24"/>
        <v>3.4487346657097517E-2</v>
      </c>
    </row>
    <row r="214" spans="12:26">
      <c r="L214" s="47">
        <v>3.2207334786973699E-2</v>
      </c>
      <c r="M214" s="43">
        <v>1.8224967918487777E-2</v>
      </c>
      <c r="N214" s="43">
        <v>-0.21785257447068021</v>
      </c>
      <c r="P214" s="43">
        <f t="shared" si="20"/>
        <v>3.0921442670791128E-2</v>
      </c>
      <c r="Q214" s="43">
        <f t="shared" si="21"/>
        <v>1.6939075802305206E-2</v>
      </c>
      <c r="R214" s="43">
        <f t="shared" si="22"/>
        <v>-0.21913846658686278</v>
      </c>
      <c r="T214" s="43">
        <f t="shared" si="19"/>
        <v>-5.0255514147598733E-2</v>
      </c>
      <c r="U214" s="43"/>
      <c r="V214" s="43">
        <f t="shared" si="23"/>
        <v>-5.1541406263781307E-2</v>
      </c>
      <c r="X214" s="43">
        <v>-8.7956719149039353E-2</v>
      </c>
      <c r="Y214" s="43"/>
      <c r="Z214" s="43">
        <f t="shared" si="24"/>
        <v>-8.9242611265221927E-2</v>
      </c>
    </row>
    <row r="215" spans="12:26">
      <c r="L215" s="47">
        <v>0.12609970674486803</v>
      </c>
      <c r="M215" s="43">
        <v>-5.1535403965982862E-3</v>
      </c>
      <c r="N215" s="43">
        <v>0.19106647110246272</v>
      </c>
      <c r="P215" s="43">
        <f t="shared" si="20"/>
        <v>0.12481381462868546</v>
      </c>
      <c r="Q215" s="43">
        <f t="shared" si="21"/>
        <v>-6.4394325127808578E-3</v>
      </c>
      <c r="R215" s="43">
        <f t="shared" si="22"/>
        <v>0.18978057898628015</v>
      </c>
      <c r="T215" s="43">
        <f t="shared" si="19"/>
        <v>8.4934616946682473E-2</v>
      </c>
      <c r="U215" s="43"/>
      <c r="V215" s="43">
        <f t="shared" si="23"/>
        <v>8.3648724830499899E-2</v>
      </c>
      <c r="X215" s="43">
        <v>5.3243883608722342E-5</v>
      </c>
      <c r="Y215" s="43"/>
      <c r="Z215" s="43">
        <f t="shared" si="24"/>
        <v>-1.2326482325738491E-3</v>
      </c>
    </row>
    <row r="216" spans="12:26">
      <c r="L216" s="47">
        <v>-0.10791667302449544</v>
      </c>
      <c r="M216" s="43">
        <v>-1.1251625278203262E-2</v>
      </c>
      <c r="N216" s="43">
        <v>-0.24926368778234789</v>
      </c>
      <c r="P216" s="43">
        <f t="shared" si="20"/>
        <v>-0.10920256514067801</v>
      </c>
      <c r="Q216" s="43">
        <f t="shared" si="21"/>
        <v>-1.2537517394385833E-2</v>
      </c>
      <c r="R216" s="43">
        <f t="shared" si="22"/>
        <v>-0.25054957989853044</v>
      </c>
      <c r="T216" s="43">
        <f t="shared" si="19"/>
        <v>-0.10600742222497214</v>
      </c>
      <c r="U216" s="43"/>
      <c r="V216" s="43">
        <f t="shared" si="23"/>
        <v>-0.10729331434115472</v>
      </c>
      <c r="X216" s="43">
        <v>-8.3919993223866451E-2</v>
      </c>
      <c r="Y216" s="43"/>
      <c r="Z216" s="43">
        <f t="shared" si="24"/>
        <v>-8.5205885340049026E-2</v>
      </c>
    </row>
    <row r="217" spans="12:26">
      <c r="L217" s="47">
        <v>0.13183093176074917</v>
      </c>
      <c r="M217" s="43">
        <v>-1.6844066964690572E-2</v>
      </c>
      <c r="N217" s="43">
        <v>0.23538642229191917</v>
      </c>
      <c r="P217" s="43">
        <f t="shared" si="20"/>
        <v>0.1305450396445666</v>
      </c>
      <c r="Q217" s="43">
        <f t="shared" si="21"/>
        <v>-1.8129959080873143E-2</v>
      </c>
      <c r="R217" s="43">
        <f t="shared" si="22"/>
        <v>0.23410053017573659</v>
      </c>
      <c r="T217" s="43">
        <f t="shared" si="19"/>
        <v>9.4306130122878057E-2</v>
      </c>
      <c r="U217" s="43"/>
      <c r="V217" s="43">
        <f t="shared" si="23"/>
        <v>9.3020238006695483E-2</v>
      </c>
      <c r="X217" s="43">
        <v>9.1116347632205885E-2</v>
      </c>
      <c r="Y217" s="43"/>
      <c r="Z217" s="43">
        <f t="shared" si="24"/>
        <v>8.9830455516023311E-2</v>
      </c>
    </row>
    <row r="218" spans="12:26">
      <c r="L218" s="47">
        <v>-1.38244502534434E-2</v>
      </c>
      <c r="M218" s="43">
        <v>-7.5521473824821023E-2</v>
      </c>
      <c r="N218" s="43">
        <v>-0.10161954430055889</v>
      </c>
      <c r="P218" s="43">
        <f t="shared" si="20"/>
        <v>-1.5110342369625971E-2</v>
      </c>
      <c r="Q218" s="43">
        <f t="shared" si="21"/>
        <v>-7.6807365941003597E-2</v>
      </c>
      <c r="R218" s="43">
        <f t="shared" si="22"/>
        <v>-0.10290543641674146</v>
      </c>
      <c r="T218" s="43">
        <f t="shared" si="19"/>
        <v>-6.9127368604917749E-2</v>
      </c>
      <c r="U218" s="43"/>
      <c r="V218" s="43">
        <f t="shared" si="23"/>
        <v>-7.0413260721100324E-2</v>
      </c>
      <c r="X218" s="43">
        <v>-4.2440119216810457E-2</v>
      </c>
      <c r="Y218" s="43"/>
      <c r="Z218" s="43">
        <f t="shared" si="24"/>
        <v>-4.3726011332993031E-2</v>
      </c>
    </row>
    <row r="219" spans="12:26">
      <c r="L219" s="47">
        <v>-8.6619929872460852E-2</v>
      </c>
      <c r="M219" s="43">
        <v>1.2520170560996476E-2</v>
      </c>
      <c r="N219" s="43">
        <v>-0.25344646447648123</v>
      </c>
      <c r="P219" s="43">
        <f t="shared" si="20"/>
        <v>-8.7905821988643426E-2</v>
      </c>
      <c r="Q219" s="43">
        <f t="shared" si="21"/>
        <v>1.1234278444813905E-2</v>
      </c>
      <c r="R219" s="43">
        <f t="shared" si="22"/>
        <v>-0.2547323565926638</v>
      </c>
      <c r="T219" s="43">
        <f t="shared" si="19"/>
        <v>-9.1303563357396644E-2</v>
      </c>
      <c r="U219" s="43"/>
      <c r="V219" s="43">
        <f t="shared" si="23"/>
        <v>-9.2589455473579219E-2</v>
      </c>
      <c r="X219" s="43">
        <v>-9.3395701643489315E-2</v>
      </c>
      <c r="Y219" s="43"/>
      <c r="Z219" s="43">
        <f t="shared" si="24"/>
        <v>-9.4681593759671889E-2</v>
      </c>
    </row>
    <row r="220" spans="12:26">
      <c r="L220" s="47">
        <v>0.26915588886861608</v>
      </c>
      <c r="M220" s="43">
        <v>6.4948583317275307E-2</v>
      </c>
      <c r="N220" s="43">
        <v>-5.2083320790268478E-2</v>
      </c>
      <c r="P220" s="43">
        <f t="shared" si="20"/>
        <v>0.2678699967524335</v>
      </c>
      <c r="Q220" s="43">
        <f t="shared" si="21"/>
        <v>6.3662691201092733E-2</v>
      </c>
      <c r="R220" s="43">
        <f t="shared" si="22"/>
        <v>-5.3369212906451052E-2</v>
      </c>
      <c r="T220" s="43">
        <f t="shared" si="19"/>
        <v>7.6799331247126179E-2</v>
      </c>
      <c r="U220" s="43"/>
      <c r="V220" s="43">
        <f t="shared" si="23"/>
        <v>7.5513439130943605E-2</v>
      </c>
      <c r="X220" s="43">
        <v>7.9863454576893256E-2</v>
      </c>
      <c r="Y220" s="43"/>
      <c r="Z220" s="43">
        <f t="shared" si="24"/>
        <v>7.8577562460710682E-2</v>
      </c>
    </row>
    <row r="221" spans="12:26">
      <c r="L221" s="47">
        <v>4.782950915747688E-3</v>
      </c>
      <c r="M221" s="43">
        <v>2.3164906311544529E-2</v>
      </c>
      <c r="N221" s="43">
        <v>0.29254071725580111</v>
      </c>
      <c r="P221" s="43">
        <f t="shared" si="20"/>
        <v>3.4970587995651163E-3</v>
      </c>
      <c r="Q221" s="43">
        <f t="shared" si="21"/>
        <v>2.1879014195361958E-2</v>
      </c>
      <c r="R221" s="43">
        <f t="shared" si="22"/>
        <v>0.29125482513961853</v>
      </c>
      <c r="T221" s="43">
        <f t="shared" si="19"/>
        <v>0.10074088601701373</v>
      </c>
      <c r="U221" s="43"/>
      <c r="V221" s="43">
        <f t="shared" si="23"/>
        <v>9.9454993900831151E-2</v>
      </c>
      <c r="X221" s="43">
        <v>5.3752860293699856E-2</v>
      </c>
      <c r="Y221" s="43"/>
      <c r="Z221" s="43">
        <f t="shared" si="24"/>
        <v>5.2466968177517281E-2</v>
      </c>
    </row>
    <row r="222" spans="12:26">
      <c r="L222" s="47">
        <v>-9.3406980450823629E-3</v>
      </c>
      <c r="M222" s="43">
        <v>-7.5843039523349719E-3</v>
      </c>
      <c r="N222" s="43">
        <v>-0.16565762031874026</v>
      </c>
      <c r="P222" s="43">
        <f t="shared" si="20"/>
        <v>-1.0626590161264934E-2</v>
      </c>
      <c r="Q222" s="43">
        <f t="shared" si="21"/>
        <v>-8.8701960685175427E-3</v>
      </c>
      <c r="R222" s="43">
        <f t="shared" si="22"/>
        <v>-0.16694351243492284</v>
      </c>
      <c r="T222" s="43">
        <f t="shared" si="19"/>
        <v>-5.6018905970914613E-2</v>
      </c>
      <c r="U222" s="43"/>
      <c r="V222" s="43">
        <f t="shared" si="23"/>
        <v>-5.7304798087097188E-2</v>
      </c>
      <c r="X222" s="43">
        <v>-5.8971449299161094E-2</v>
      </c>
      <c r="Y222" s="43"/>
      <c r="Z222" s="43">
        <f t="shared" si="24"/>
        <v>-6.0257341415343668E-2</v>
      </c>
    </row>
    <row r="223" spans="12:26">
      <c r="L223" s="47">
        <v>5.1767895979053263E-2</v>
      </c>
      <c r="M223" s="43">
        <v>-7.4893836312792311E-2</v>
      </c>
      <c r="N223" s="43">
        <v>0.16025946303524588</v>
      </c>
      <c r="P223" s="43">
        <f t="shared" si="20"/>
        <v>5.0482003862870689E-2</v>
      </c>
      <c r="Q223" s="43">
        <f t="shared" si="21"/>
        <v>-7.6179728428974886E-2</v>
      </c>
      <c r="R223" s="43">
        <f t="shared" si="22"/>
        <v>0.15897357091906331</v>
      </c>
      <c r="T223" s="43">
        <f t="shared" si="19"/>
        <v>2.5957329155697421E-2</v>
      </c>
      <c r="U223" s="43"/>
      <c r="V223" s="43">
        <f t="shared" si="23"/>
        <v>2.4671437039514851E-2</v>
      </c>
      <c r="X223" s="43">
        <v>6.1752832400052027E-2</v>
      </c>
      <c r="Y223" s="43"/>
      <c r="Z223" s="43">
        <f t="shared" si="24"/>
        <v>6.0466940283869453E-2</v>
      </c>
    </row>
    <row r="224" spans="12:26">
      <c r="L224" s="47">
        <v>-5.2581659872377812E-2</v>
      </c>
      <c r="M224" s="43">
        <v>-6.217111599527652E-2</v>
      </c>
      <c r="N224" s="43">
        <v>4.5642052369015786E-2</v>
      </c>
      <c r="P224" s="43">
        <f t="shared" si="20"/>
        <v>-5.3867551988560386E-2</v>
      </c>
      <c r="Q224" s="43">
        <f t="shared" si="21"/>
        <v>-6.3457008111459087E-2</v>
      </c>
      <c r="R224" s="43">
        <f t="shared" si="22"/>
        <v>4.4356160252833211E-2</v>
      </c>
      <c r="T224" s="43">
        <f t="shared" si="19"/>
        <v>-2.7188373565926224E-2</v>
      </c>
      <c r="U224" s="43"/>
      <c r="V224" s="43">
        <f t="shared" si="23"/>
        <v>-2.8474265682108795E-2</v>
      </c>
      <c r="X224" s="43">
        <v>-2.6112446646715304E-2</v>
      </c>
      <c r="Y224" s="43"/>
      <c r="Z224" s="43">
        <f t="shared" si="24"/>
        <v>-2.7398338762897875E-2</v>
      </c>
    </row>
    <row r="225" spans="12:26">
      <c r="L225" s="47">
        <v>-2.274588223730408E-3</v>
      </c>
      <c r="M225" s="43">
        <v>1.1353292154049061E-2</v>
      </c>
      <c r="N225" s="43">
        <v>0.24726393296541102</v>
      </c>
      <c r="P225" s="43">
        <f t="shared" si="20"/>
        <v>-3.5604803399129793E-3</v>
      </c>
      <c r="Q225" s="43">
        <f t="shared" si="21"/>
        <v>1.006740003786649E-2</v>
      </c>
      <c r="R225" s="43">
        <f t="shared" si="22"/>
        <v>0.24597804084922845</v>
      </c>
      <c r="T225" s="43">
        <f t="shared" si="19"/>
        <v>7.9865361589916903E-2</v>
      </c>
      <c r="U225" s="43"/>
      <c r="V225" s="43">
        <f t="shared" si="23"/>
        <v>7.8579469473734329E-2</v>
      </c>
      <c r="X225" s="43">
        <v>3.5051572358727023E-2</v>
      </c>
      <c r="Y225" s="43"/>
      <c r="Z225" s="43">
        <f t="shared" si="24"/>
        <v>3.3765680242544449E-2</v>
      </c>
    </row>
    <row r="226" spans="12:26">
      <c r="L226" s="47">
        <v>7.9153678514607168E-2</v>
      </c>
      <c r="M226" s="43">
        <v>5.6129012569304436E-2</v>
      </c>
      <c r="N226" s="43">
        <v>-8.8154261823595731E-2</v>
      </c>
      <c r="P226" s="43">
        <f t="shared" si="20"/>
        <v>7.7867786398424593E-2</v>
      </c>
      <c r="Q226" s="43">
        <f t="shared" si="21"/>
        <v>5.4843120453121862E-2</v>
      </c>
      <c r="R226" s="43">
        <f t="shared" si="22"/>
        <v>-8.9440153939778305E-2</v>
      </c>
      <c r="T226" s="43">
        <f t="shared" si="19"/>
        <v>1.7637282200484741E-2</v>
      </c>
      <c r="U226" s="43"/>
      <c r="V226" s="43">
        <f t="shared" si="23"/>
        <v>1.635139008430217E-2</v>
      </c>
      <c r="X226" s="43">
        <v>1.464236088297044E-2</v>
      </c>
      <c r="Y226" s="43"/>
      <c r="Z226" s="43">
        <f t="shared" si="24"/>
        <v>1.3356468766787869E-2</v>
      </c>
    </row>
    <row r="227" spans="12:26">
      <c r="L227" s="47">
        <v>-0.13655565770488928</v>
      </c>
      <c r="M227" s="43">
        <v>-5.2779471904206496E-2</v>
      </c>
      <c r="N227" s="43">
        <v>0.32270331712609929</v>
      </c>
      <c r="P227" s="43">
        <f t="shared" si="20"/>
        <v>-0.13784154982107186</v>
      </c>
      <c r="Q227" s="43">
        <f t="shared" si="21"/>
        <v>-5.406536402038907E-2</v>
      </c>
      <c r="R227" s="43">
        <f t="shared" si="22"/>
        <v>0.32141742500991671</v>
      </c>
      <c r="T227" s="43">
        <f t="shared" si="19"/>
        <v>4.1852887201714276E-2</v>
      </c>
      <c r="U227" s="43"/>
      <c r="V227" s="43">
        <f t="shared" si="23"/>
        <v>4.0566995085531701E-2</v>
      </c>
      <c r="X227" s="43">
        <v>2.4823239348792381E-3</v>
      </c>
      <c r="Y227" s="43"/>
      <c r="Z227" s="43">
        <f t="shared" si="24"/>
        <v>1.1964318186966666E-3</v>
      </c>
    </row>
    <row r="228" spans="12:26">
      <c r="L228" s="47">
        <v>4.9618317475845664E-2</v>
      </c>
      <c r="M228" s="43">
        <v>6.7457802647743384E-2</v>
      </c>
      <c r="N228" s="43">
        <v>-3.6375902678846245E-2</v>
      </c>
      <c r="P228" s="43">
        <f t="shared" si="20"/>
        <v>4.8332425359663089E-2</v>
      </c>
      <c r="Q228" s="43">
        <f t="shared" si="21"/>
        <v>6.617191053156081E-2</v>
      </c>
      <c r="R228" s="43">
        <f t="shared" si="22"/>
        <v>-3.7661794795028819E-2</v>
      </c>
      <c r="T228" s="43">
        <f t="shared" si="19"/>
        <v>3.1768825196017439E-2</v>
      </c>
      <c r="U228" s="43"/>
      <c r="V228" s="43">
        <f t="shared" si="23"/>
        <v>3.0482933079834868E-2</v>
      </c>
      <c r="X228" s="43">
        <v>6.4727512841431301E-2</v>
      </c>
      <c r="Y228" s="43"/>
      <c r="Z228" s="43">
        <f t="shared" si="24"/>
        <v>6.3441620725248726E-2</v>
      </c>
    </row>
    <row r="229" spans="12:26">
      <c r="L229" s="47">
        <v>-9.3260011472902094E-5</v>
      </c>
      <c r="M229" s="43">
        <v>1.2143514106774092E-2</v>
      </c>
      <c r="N229" s="43">
        <v>4.301622754951437E-3</v>
      </c>
      <c r="P229" s="43">
        <f t="shared" si="20"/>
        <v>-1.3791521276554735E-3</v>
      </c>
      <c r="Q229" s="43">
        <f t="shared" si="21"/>
        <v>1.0857621990591522E-2</v>
      </c>
      <c r="R229" s="43">
        <f t="shared" si="22"/>
        <v>3.0157306387688654E-3</v>
      </c>
      <c r="T229" s="43">
        <f t="shared" si="19"/>
        <v>6.9200895765458769E-3</v>
      </c>
      <c r="U229" s="43"/>
      <c r="V229" s="43">
        <f t="shared" si="23"/>
        <v>5.6341974603633053E-3</v>
      </c>
      <c r="X229" s="43">
        <v>3.1138913980379268E-2</v>
      </c>
      <c r="Y229" s="43"/>
      <c r="Z229" s="43">
        <f t="shared" si="24"/>
        <v>2.9853021864196697E-2</v>
      </c>
    </row>
    <row r="230" spans="12:26">
      <c r="L230" s="47">
        <v>3.6833314587105259E-2</v>
      </c>
      <c r="M230" s="43">
        <v>-3.4919155650579285E-2</v>
      </c>
      <c r="N230" s="43">
        <v>-7.5874127529729468E-2</v>
      </c>
      <c r="P230" s="43">
        <f t="shared" si="20"/>
        <v>3.5547422470922685E-2</v>
      </c>
      <c r="Q230" s="43">
        <f t="shared" si="21"/>
        <v>-3.6205047766761859E-2</v>
      </c>
      <c r="R230" s="43">
        <f t="shared" si="22"/>
        <v>-7.7160019645912042E-2</v>
      </c>
      <c r="T230" s="43">
        <f t="shared" si="19"/>
        <v>-3.0704528012538458E-2</v>
      </c>
      <c r="U230" s="43"/>
      <c r="V230" s="43">
        <f t="shared" si="23"/>
        <v>-3.1990420128721032E-2</v>
      </c>
      <c r="X230" s="43">
        <v>-1.771643248143373E-2</v>
      </c>
      <c r="Y230" s="43"/>
      <c r="Z230" s="43">
        <f t="shared" si="24"/>
        <v>-1.9002324597616301E-2</v>
      </c>
    </row>
    <row r="231" spans="12:26">
      <c r="L231" s="47">
        <v>5.7469190119100615E-2</v>
      </c>
      <c r="M231" s="43">
        <v>-3.6677343792764341E-2</v>
      </c>
      <c r="N231" s="43">
        <v>-2.7430963794871765E-2</v>
      </c>
      <c r="P231" s="43">
        <f t="shared" si="20"/>
        <v>5.618329800291804E-2</v>
      </c>
      <c r="Q231" s="43">
        <f t="shared" si="21"/>
        <v>-3.7963235908946916E-2</v>
      </c>
      <c r="R231" s="43">
        <f t="shared" si="22"/>
        <v>-2.8716855911054336E-2</v>
      </c>
      <c r="T231" s="43">
        <f t="shared" si="19"/>
        <v>-1.2011285707416395E-2</v>
      </c>
      <c r="U231" s="43"/>
      <c r="V231" s="43">
        <f t="shared" si="23"/>
        <v>-1.3297177823598965E-2</v>
      </c>
      <c r="X231" s="43">
        <v>-4.871929116215501E-2</v>
      </c>
      <c r="Y231" s="43"/>
      <c r="Z231" s="43">
        <f t="shared" si="24"/>
        <v>-5.0005183278337584E-2</v>
      </c>
    </row>
    <row r="232" spans="12:26">
      <c r="L232" s="47">
        <v>-9.9761891259262755E-2</v>
      </c>
      <c r="M232" s="43">
        <v>-4.7576267493479131E-2</v>
      </c>
      <c r="N232" s="43">
        <v>-4.2015169302141907E-2</v>
      </c>
      <c r="P232" s="43">
        <f t="shared" si="20"/>
        <v>-0.10104778337544533</v>
      </c>
      <c r="Q232" s="43">
        <f t="shared" si="21"/>
        <v>-4.8862159609661705E-2</v>
      </c>
      <c r="R232" s="43">
        <f t="shared" si="22"/>
        <v>-4.3301061418324481E-2</v>
      </c>
      <c r="T232" s="43">
        <f t="shared" si="19"/>
        <v>-5.8001909866773352E-2</v>
      </c>
      <c r="U232" s="43"/>
      <c r="V232" s="43">
        <f t="shared" si="23"/>
        <v>-5.9287801982955926E-2</v>
      </c>
      <c r="X232" s="43">
        <v>-2.1979687736850217E-2</v>
      </c>
      <c r="Y232" s="43"/>
      <c r="Z232" s="43">
        <f t="shared" si="24"/>
        <v>-2.3265579853032788E-2</v>
      </c>
    </row>
    <row r="233" spans="12:26">
      <c r="L233" s="47">
        <v>-2.9381206000790978E-2</v>
      </c>
      <c r="M233" s="43">
        <v>4.2604877175694146E-2</v>
      </c>
      <c r="N233" s="43">
        <v>0.23005079860009517</v>
      </c>
      <c r="P233" s="43">
        <f t="shared" si="20"/>
        <v>-3.0667098116973549E-2</v>
      </c>
      <c r="Q233" s="43">
        <f t="shared" si="21"/>
        <v>4.1318985059511572E-2</v>
      </c>
      <c r="R233" s="43">
        <f t="shared" si="22"/>
        <v>0.22876490648391259</v>
      </c>
      <c r="T233" s="43">
        <f t="shared" si="19"/>
        <v>8.2843829213977344E-2</v>
      </c>
      <c r="U233" s="43"/>
      <c r="V233" s="43">
        <f t="shared" si="23"/>
        <v>8.1557937097794769E-2</v>
      </c>
      <c r="X233" s="43">
        <v>8.9179264628737709E-2</v>
      </c>
      <c r="Y233" s="43"/>
      <c r="Z233" s="43">
        <f t="shared" si="24"/>
        <v>8.7893372512555135E-2</v>
      </c>
    </row>
    <row r="234" spans="12:26">
      <c r="L234" s="47">
        <v>-2.6863875454772892E-2</v>
      </c>
      <c r="M234" s="43">
        <v>1.3448867074896323E-2</v>
      </c>
      <c r="N234" s="43">
        <v>0.21665565538612822</v>
      </c>
      <c r="P234" s="43">
        <f t="shared" si="20"/>
        <v>-2.8149767570955463E-2</v>
      </c>
      <c r="Q234" s="43">
        <f t="shared" si="21"/>
        <v>1.2162974958713752E-2</v>
      </c>
      <c r="R234" s="43">
        <f t="shared" si="22"/>
        <v>0.21536976326994564</v>
      </c>
      <c r="T234" s="43">
        <f t="shared" si="19"/>
        <v>6.582956959979433E-2</v>
      </c>
      <c r="U234" s="43"/>
      <c r="V234" s="43">
        <f t="shared" si="23"/>
        <v>6.4543677483611755E-2</v>
      </c>
      <c r="X234" s="43">
        <v>4.4229169403213753E-2</v>
      </c>
      <c r="Y234" s="43"/>
      <c r="Z234" s="43">
        <f t="shared" si="24"/>
        <v>4.2943277287031179E-2</v>
      </c>
    </row>
    <row r="235" spans="12:26">
      <c r="L235" s="47">
        <v>2.8305602186838662E-2</v>
      </c>
      <c r="M235" s="43">
        <v>1.3780708993368746E-2</v>
      </c>
      <c r="N235" s="43">
        <v>0.13757545807937385</v>
      </c>
      <c r="P235" s="43">
        <f t="shared" si="20"/>
        <v>2.7019710070656091E-2</v>
      </c>
      <c r="Q235" s="43">
        <f t="shared" si="21"/>
        <v>1.2494816877186175E-2</v>
      </c>
      <c r="R235" s="43">
        <f t="shared" si="22"/>
        <v>0.13628956596319128</v>
      </c>
      <c r="T235" s="43">
        <f t="shared" si="19"/>
        <v>5.47648727849641E-2</v>
      </c>
      <c r="U235" s="43"/>
      <c r="V235" s="43">
        <f t="shared" si="23"/>
        <v>5.3478980668781526E-2</v>
      </c>
      <c r="X235" s="43">
        <v>1.5895744712075555E-2</v>
      </c>
      <c r="Y235" s="43"/>
      <c r="Z235" s="43">
        <f t="shared" si="24"/>
        <v>1.4609852595892984E-2</v>
      </c>
    </row>
    <row r="236" spans="12:26">
      <c r="L236" s="47">
        <v>1.6632614775601847E-2</v>
      </c>
      <c r="M236" s="43">
        <v>1.560736992818094E-2</v>
      </c>
      <c r="N236" s="43">
        <v>0.14813045486459542</v>
      </c>
      <c r="P236" s="43">
        <f t="shared" si="20"/>
        <v>1.5346722659419276E-2</v>
      </c>
      <c r="Q236" s="43">
        <f t="shared" si="21"/>
        <v>1.4321477811998369E-2</v>
      </c>
      <c r="R236" s="43">
        <f t="shared" si="22"/>
        <v>0.14684456274841284</v>
      </c>
      <c r="T236" s="43">
        <f t="shared" si="19"/>
        <v>5.6109396374514009E-2</v>
      </c>
      <c r="U236" s="43"/>
      <c r="V236" s="43">
        <f t="shared" si="23"/>
        <v>5.4823504258331435E-2</v>
      </c>
      <c r="X236" s="43">
        <v>5.1720615397315317E-2</v>
      </c>
      <c r="Y236" s="43"/>
      <c r="Z236" s="43">
        <f t="shared" si="24"/>
        <v>5.0434723281132743E-2</v>
      </c>
    </row>
    <row r="237" spans="12:26">
      <c r="L237" s="47">
        <v>0.11213166472561881</v>
      </c>
      <c r="M237" s="43">
        <v>-1.976702407291844E-2</v>
      </c>
      <c r="N237" s="43">
        <v>-6.253567424541788E-2</v>
      </c>
      <c r="P237" s="43">
        <f t="shared" si="20"/>
        <v>0.11084577260943623</v>
      </c>
      <c r="Q237" s="43">
        <f t="shared" si="21"/>
        <v>-2.1052916189101011E-2</v>
      </c>
      <c r="R237" s="43">
        <f t="shared" si="22"/>
        <v>-6.3821566361600454E-2</v>
      </c>
      <c r="T237" s="43">
        <f t="shared" si="19"/>
        <v>-2.1400823365554725E-3</v>
      </c>
      <c r="U237" s="43"/>
      <c r="V237" s="43">
        <f t="shared" si="23"/>
        <v>-3.4259744527380441E-3</v>
      </c>
      <c r="X237" s="43">
        <v>3.1018764704381807E-2</v>
      </c>
      <c r="Y237" s="43"/>
      <c r="Z237" s="43">
        <f t="shared" si="24"/>
        <v>2.9732872588199236E-2</v>
      </c>
    </row>
    <row r="238" spans="12:26">
      <c r="L238" s="47">
        <v>1.7463857678971954E-2</v>
      </c>
      <c r="M238" s="43">
        <v>-8.5972601894061432E-2</v>
      </c>
      <c r="N238" s="43">
        <v>-0.12249986114155759</v>
      </c>
      <c r="P238" s="43">
        <f t="shared" si="20"/>
        <v>1.6177965562789384E-2</v>
      </c>
      <c r="Q238" s="43">
        <f t="shared" si="21"/>
        <v>-8.7258494010244006E-2</v>
      </c>
      <c r="R238" s="43">
        <f t="shared" si="22"/>
        <v>-0.12378575325774016</v>
      </c>
      <c r="T238" s="43">
        <f t="shared" si="19"/>
        <v>-7.3057062805232054E-2</v>
      </c>
      <c r="U238" s="43"/>
      <c r="V238" s="43">
        <f t="shared" si="23"/>
        <v>-7.4342954921414628E-2</v>
      </c>
      <c r="X238" s="43">
        <v>-4.1615042774082567E-2</v>
      </c>
      <c r="Y238" s="43"/>
      <c r="Z238" s="43">
        <f t="shared" si="24"/>
        <v>-4.2900934890265141E-2</v>
      </c>
    </row>
    <row r="239" spans="12:26">
      <c r="L239" s="47">
        <v>-8.5397356515030266E-3</v>
      </c>
      <c r="M239" s="43">
        <v>1.4385516866560784E-2</v>
      </c>
      <c r="N239" s="43">
        <v>5.3794600018960283E-2</v>
      </c>
      <c r="P239" s="43">
        <f t="shared" si="20"/>
        <v>-9.8256277676855974E-3</v>
      </c>
      <c r="Q239" s="43">
        <f t="shared" si="21"/>
        <v>1.3099624750378213E-2</v>
      </c>
      <c r="R239" s="43">
        <f t="shared" si="22"/>
        <v>5.2508707902777708E-2</v>
      </c>
      <c r="T239" s="43">
        <f t="shared" si="19"/>
        <v>2.1036781136642289E-2</v>
      </c>
      <c r="U239" s="43"/>
      <c r="V239" s="43">
        <f t="shared" si="23"/>
        <v>1.9750889020459718E-2</v>
      </c>
      <c r="X239" s="43">
        <v>4.8021224499522619E-2</v>
      </c>
      <c r="Y239" s="43"/>
      <c r="Z239" s="43">
        <f t="shared" si="24"/>
        <v>4.6735332383340045E-2</v>
      </c>
    </row>
    <row r="240" spans="12:26">
      <c r="L240" s="47">
        <v>-1.8250037102696164E-2</v>
      </c>
      <c r="M240" s="43">
        <v>-3.4771562910124827E-3</v>
      </c>
      <c r="N240" s="43">
        <v>-2.8100583308145816E-2</v>
      </c>
      <c r="P240" s="43">
        <f t="shared" si="20"/>
        <v>-1.9535929218878735E-2</v>
      </c>
      <c r="Q240" s="43">
        <f t="shared" si="21"/>
        <v>-4.7630484071950543E-3</v>
      </c>
      <c r="R240" s="43">
        <f t="shared" si="22"/>
        <v>-2.9386475424328387E-2</v>
      </c>
      <c r="T240" s="43">
        <f t="shared" si="19"/>
        <v>-1.4388028583167036E-2</v>
      </c>
      <c r="U240" s="43"/>
      <c r="V240" s="43">
        <f t="shared" si="23"/>
        <v>-1.5673920699349607E-2</v>
      </c>
      <c r="X240" s="43">
        <v>3.4669759034089864E-2</v>
      </c>
      <c r="Y240" s="43"/>
      <c r="Z240" s="43">
        <f t="shared" si="24"/>
        <v>3.338386691790729E-2</v>
      </c>
    </row>
    <row r="241" spans="12:26">
      <c r="L241" s="47">
        <v>3.014240365288403E-2</v>
      </c>
      <c r="M241" s="43">
        <v>7.9980857611573627E-2</v>
      </c>
      <c r="N241" s="43">
        <v>-0.10930281889207519</v>
      </c>
      <c r="P241" s="43">
        <f t="shared" si="20"/>
        <v>2.8856511536701459E-2</v>
      </c>
      <c r="Q241" s="43">
        <f t="shared" si="21"/>
        <v>7.8694965495391053E-2</v>
      </c>
      <c r="R241" s="43">
        <f t="shared" si="22"/>
        <v>-0.11058871100825776</v>
      </c>
      <c r="T241" s="43">
        <f t="shared" si="19"/>
        <v>1.0901144764595756E-2</v>
      </c>
      <c r="U241" s="43"/>
      <c r="V241" s="43">
        <f t="shared" si="23"/>
        <v>9.6152526484131855E-3</v>
      </c>
      <c r="X241" s="43">
        <v>1.1321349038912354E-2</v>
      </c>
      <c r="Y241" s="43"/>
      <c r="Z241" s="43">
        <f t="shared" si="24"/>
        <v>1.0035456922729783E-2</v>
      </c>
    </row>
    <row r="242" spans="12:26">
      <c r="L242" s="47">
        <v>-5.4810179320049094E-3</v>
      </c>
      <c r="M242" s="43">
        <v>5.0744340811638013E-2</v>
      </c>
      <c r="N242" s="43">
        <v>2.8239216166290389E-2</v>
      </c>
      <c r="P242" s="43">
        <f t="shared" si="20"/>
        <v>-6.766910048187481E-3</v>
      </c>
      <c r="Q242" s="43">
        <f t="shared" si="21"/>
        <v>4.9458448695455438E-2</v>
      </c>
      <c r="R242" s="43">
        <f t="shared" si="22"/>
        <v>2.6953324050107818E-2</v>
      </c>
      <c r="T242" s="43">
        <f t="shared" si="19"/>
        <v>3.0853587427795946E-2</v>
      </c>
      <c r="U242" s="43"/>
      <c r="V242" s="43">
        <f t="shared" si="23"/>
        <v>2.9567695311613375E-2</v>
      </c>
      <c r="X242" s="43">
        <v>2.2834688445031892E-2</v>
      </c>
      <c r="Y242" s="43"/>
      <c r="Z242" s="43">
        <f t="shared" si="24"/>
        <v>2.1548796328849321E-2</v>
      </c>
    </row>
    <row r="243" spans="12:26">
      <c r="L243" s="47">
        <v>-6.1048092741970957E-3</v>
      </c>
      <c r="M243" s="43">
        <v>-2.2910907016604996E-2</v>
      </c>
      <c r="N243" s="43">
        <v>0.10446960505865431</v>
      </c>
      <c r="P243" s="43">
        <f t="shared" si="20"/>
        <v>-7.3907013903796673E-3</v>
      </c>
      <c r="Q243" s="43">
        <f t="shared" si="21"/>
        <v>-2.4196799132787567E-2</v>
      </c>
      <c r="R243" s="43">
        <f t="shared" si="22"/>
        <v>0.10318371294247174</v>
      </c>
      <c r="T243" s="43">
        <f t="shared" si="19"/>
        <v>1.969230344550028E-2</v>
      </c>
      <c r="U243" s="43"/>
      <c r="V243" s="43">
        <f t="shared" si="23"/>
        <v>1.840641132931771E-2</v>
      </c>
      <c r="X243" s="43">
        <v>2.0196869910062976E-2</v>
      </c>
      <c r="Y243" s="43"/>
      <c r="Z243" s="43">
        <f t="shared" si="24"/>
        <v>1.8910977793880405E-2</v>
      </c>
    </row>
    <row r="244" spans="12:26">
      <c r="L244" s="47">
        <v>-3.7536464496174889E-3</v>
      </c>
      <c r="M244" s="43">
        <v>-1.3575200428142458E-2</v>
      </c>
      <c r="N244" s="43">
        <v>-0.12195267115756904</v>
      </c>
      <c r="P244" s="43">
        <f t="shared" si="20"/>
        <v>-5.0395385658000601E-3</v>
      </c>
      <c r="Q244" s="43">
        <f t="shared" si="21"/>
        <v>-1.4861092544325029E-2</v>
      </c>
      <c r="R244" s="43">
        <f t="shared" si="22"/>
        <v>-0.12323856327375161</v>
      </c>
      <c r="T244" s="43">
        <f t="shared" si="19"/>
        <v>-4.4222993593993086E-2</v>
      </c>
      <c r="U244" s="43"/>
      <c r="V244" s="43">
        <f t="shared" si="23"/>
        <v>-4.550888571017566E-2</v>
      </c>
      <c r="X244" s="43">
        <v>-9.8967805528175079E-3</v>
      </c>
      <c r="Y244" s="43"/>
      <c r="Z244" s="43">
        <f t="shared" si="24"/>
        <v>-1.1182672669000079E-2</v>
      </c>
    </row>
    <row r="245" spans="12:26">
      <c r="L245" s="47">
        <v>1.0104472662359502E-2</v>
      </c>
      <c r="M245" s="43">
        <v>-3.0339084730377313E-2</v>
      </c>
      <c r="N245" s="43">
        <v>-4.7858707030841247E-2</v>
      </c>
      <c r="P245" s="43">
        <f t="shared" si="20"/>
        <v>8.8185805461769313E-3</v>
      </c>
      <c r="Q245" s="43">
        <f t="shared" si="21"/>
        <v>-3.1624976846559884E-2</v>
      </c>
      <c r="R245" s="43">
        <f t="shared" si="22"/>
        <v>-4.9144599147023821E-2</v>
      </c>
      <c r="T245" s="43">
        <f t="shared" si="19"/>
        <v>-2.6272758707003095E-2</v>
      </c>
      <c r="U245" s="43"/>
      <c r="V245" s="43">
        <f t="shared" si="23"/>
        <v>-2.7558650823185666E-2</v>
      </c>
      <c r="X245" s="43">
        <v>5.7301352215863854E-2</v>
      </c>
      <c r="Y245" s="43"/>
      <c r="Z245" s="43">
        <f t="shared" si="24"/>
        <v>5.601546009968128E-2</v>
      </c>
    </row>
    <row r="246" spans="12:26">
      <c r="L246" s="47">
        <v>-8.8080700833237768E-2</v>
      </c>
      <c r="M246" s="43">
        <v>-6.7027932119501102E-2</v>
      </c>
      <c r="N246" s="43">
        <v>-0.11944597610140534</v>
      </c>
      <c r="P246" s="43">
        <f t="shared" si="20"/>
        <v>-8.9366592949420343E-2</v>
      </c>
      <c r="Q246" s="43">
        <f t="shared" si="21"/>
        <v>-6.8313824235683676E-2</v>
      </c>
      <c r="R246" s="43">
        <f t="shared" si="22"/>
        <v>-0.12073186821758791</v>
      </c>
      <c r="T246" s="43">
        <f t="shared" si="19"/>
        <v>-8.784146126889214E-2</v>
      </c>
      <c r="U246" s="43"/>
      <c r="V246" s="43">
        <f t="shared" si="23"/>
        <v>-8.9127353385074715E-2</v>
      </c>
      <c r="X246" s="43">
        <v>-2.4990136563014964E-2</v>
      </c>
      <c r="Y246" s="43"/>
      <c r="Z246" s="43">
        <f t="shared" si="24"/>
        <v>-2.6276028679197535E-2</v>
      </c>
    </row>
  </sheetData>
  <mergeCells count="4">
    <mergeCell ref="L2:N2"/>
    <mergeCell ref="L5:N5"/>
    <mergeCell ref="P5:R5"/>
    <mergeCell ref="O1:S1"/>
  </mergeCells>
  <phoneticPr fontId="5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0F2B2-A2C7-44E5-AE35-E98DC7AE4661}">
  <dimension ref="A1:I18"/>
  <sheetViews>
    <sheetView workbookViewId="0">
      <selection activeCell="D27" sqref="D27"/>
    </sheetView>
  </sheetViews>
  <sheetFormatPr defaultRowHeight="12.6"/>
  <cols>
    <col min="1" max="1" width="17.85546875" bestFit="1" customWidth="1"/>
    <col min="2" max="2" width="15.85546875" bestFit="1" customWidth="1"/>
    <col min="3" max="3" width="13.42578125" bestFit="1" customWidth="1"/>
    <col min="4" max="4" width="11.85546875" bestFit="1" customWidth="1"/>
    <col min="5" max="5" width="12.140625" bestFit="1" customWidth="1"/>
    <col min="6" max="6" width="12.85546875" bestFit="1" customWidth="1"/>
    <col min="7" max="7" width="11.85546875" bestFit="1" customWidth="1"/>
    <col min="8" max="8" width="12.42578125" bestFit="1" customWidth="1"/>
    <col min="9" max="9" width="12" bestFit="1" customWidth="1"/>
  </cols>
  <sheetData>
    <row r="1" spans="1:9" ht="12.95">
      <c r="A1" s="1" t="s">
        <v>100</v>
      </c>
      <c r="B1" s="1" t="s">
        <v>126</v>
      </c>
    </row>
    <row r="2" spans="1:9" ht="12.95" thickBot="1"/>
    <row r="3" spans="1:9" ht="12.95">
      <c r="A3" s="65" t="s">
        <v>102</v>
      </c>
      <c r="B3" s="65"/>
    </row>
    <row r="4" spans="1:9">
      <c r="A4" s="8" t="s">
        <v>103</v>
      </c>
      <c r="B4" s="8">
        <v>0.74307905261039953</v>
      </c>
    </row>
    <row r="5" spans="1:9">
      <c r="A5" s="8" t="s">
        <v>104</v>
      </c>
      <c r="B5" s="8">
        <v>0.55216647842836886</v>
      </c>
    </row>
    <row r="6" spans="1:9">
      <c r="A6" s="8" t="s">
        <v>106</v>
      </c>
      <c r="B6" s="8">
        <v>0.5502848249763872</v>
      </c>
    </row>
    <row r="7" spans="1:9">
      <c r="A7" s="8" t="s">
        <v>107</v>
      </c>
      <c r="B7" s="8">
        <v>4.2984195285477166E-2</v>
      </c>
    </row>
    <row r="8" spans="1:9" ht="12.95" thickBot="1">
      <c r="A8" s="63" t="s">
        <v>108</v>
      </c>
      <c r="B8" s="63">
        <v>240</v>
      </c>
    </row>
    <row r="10" spans="1:9" ht="12.95" thickBot="1">
      <c r="A10" t="s">
        <v>109</v>
      </c>
    </row>
    <row r="11" spans="1:9" ht="12.95">
      <c r="A11" s="64"/>
      <c r="B11" s="64" t="s">
        <v>110</v>
      </c>
      <c r="C11" s="64" t="s">
        <v>111</v>
      </c>
      <c r="D11" s="64" t="s">
        <v>112</v>
      </c>
      <c r="E11" s="64" t="s">
        <v>113</v>
      </c>
      <c r="F11" s="64" t="s">
        <v>114</v>
      </c>
    </row>
    <row r="12" spans="1:9">
      <c r="A12" s="8" t="s">
        <v>115</v>
      </c>
      <c r="B12" s="8">
        <v>1</v>
      </c>
      <c r="C12" s="8">
        <v>0.54218562285129246</v>
      </c>
      <c r="D12" s="8">
        <v>0.54218562285129246</v>
      </c>
      <c r="E12" s="8">
        <v>293.44748781815292</v>
      </c>
      <c r="F12" s="8">
        <v>2.1065901371502508E-43</v>
      </c>
    </row>
    <row r="13" spans="1:9">
      <c r="A13" s="8" t="s">
        <v>116</v>
      </c>
      <c r="B13" s="8">
        <v>238</v>
      </c>
      <c r="C13" s="8">
        <v>0.43973856855292887</v>
      </c>
      <c r="D13" s="8">
        <v>1.8476410443400372E-3</v>
      </c>
      <c r="E13" s="8"/>
      <c r="F13" s="8"/>
    </row>
    <row r="14" spans="1:9" ht="12.95" thickBot="1">
      <c r="A14" s="63" t="s">
        <v>50</v>
      </c>
      <c r="B14" s="63">
        <v>239</v>
      </c>
      <c r="C14" s="63">
        <v>0.98192419140422138</v>
      </c>
      <c r="D14" s="63"/>
      <c r="E14" s="63"/>
      <c r="F14" s="63"/>
    </row>
    <row r="15" spans="1:9" ht="12.95" thickBot="1"/>
    <row r="16" spans="1:9" ht="12.95">
      <c r="A16" s="64"/>
      <c r="B16" s="64" t="s">
        <v>117</v>
      </c>
      <c r="C16" s="64" t="s">
        <v>107</v>
      </c>
      <c r="D16" s="64" t="s">
        <v>118</v>
      </c>
      <c r="E16" s="64" t="s">
        <v>119</v>
      </c>
      <c r="F16" s="64" t="s">
        <v>120</v>
      </c>
      <c r="G16" s="64" t="s">
        <v>121</v>
      </c>
      <c r="H16" s="64" t="s">
        <v>122</v>
      </c>
      <c r="I16" s="64" t="s">
        <v>123</v>
      </c>
    </row>
    <row r="17" spans="1:9">
      <c r="A17" s="8" t="s">
        <v>124</v>
      </c>
      <c r="B17" s="8">
        <v>1.4626150217340421E-3</v>
      </c>
      <c r="C17" s="8">
        <v>2.8036083480093973E-3</v>
      </c>
      <c r="D17" s="8">
        <v>0.52169020782539754</v>
      </c>
      <c r="E17" s="8">
        <v>0.60237118666556078</v>
      </c>
      <c r="F17" s="8">
        <v>-4.0604416398804105E-3</v>
      </c>
      <c r="G17" s="8">
        <v>6.9856716833484947E-3</v>
      </c>
      <c r="H17" s="8">
        <v>-4.0604416398804105E-3</v>
      </c>
      <c r="I17" s="8">
        <v>6.9856716833484947E-3</v>
      </c>
    </row>
    <row r="18" spans="1:9" ht="12.95" thickBot="1">
      <c r="A18" s="63" t="s">
        <v>125</v>
      </c>
      <c r="B18" s="63">
        <v>1.0998043185997419</v>
      </c>
      <c r="C18" s="63">
        <v>6.4202246206341143E-2</v>
      </c>
      <c r="D18" s="63">
        <v>17.130309040357474</v>
      </c>
      <c r="E18" s="63">
        <v>2.106590137150191E-43</v>
      </c>
      <c r="F18" s="63">
        <v>0.97332707941891639</v>
      </c>
      <c r="G18" s="63">
        <v>1.2262815577805675</v>
      </c>
      <c r="H18" s="63">
        <v>0.97332707941891639</v>
      </c>
      <c r="I18" s="63">
        <v>1.2262815577805675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1AF2E-F3EB-45D6-95A1-34660B6C1E3E}">
  <dimension ref="A1:I18"/>
  <sheetViews>
    <sheetView workbookViewId="0">
      <selection activeCell="H30" sqref="H30"/>
    </sheetView>
  </sheetViews>
  <sheetFormatPr defaultRowHeight="12.6"/>
  <cols>
    <col min="1" max="1" width="17.85546875" bestFit="1" customWidth="1"/>
    <col min="2" max="2" width="12.42578125" bestFit="1" customWidth="1"/>
    <col min="3" max="3" width="13.42578125" bestFit="1" customWidth="1"/>
    <col min="4" max="4" width="12.42578125" bestFit="1" customWidth="1"/>
    <col min="5" max="5" width="12.140625" bestFit="1" customWidth="1"/>
    <col min="6" max="6" width="12.85546875" bestFit="1" customWidth="1"/>
    <col min="7" max="7" width="11.85546875" bestFit="1" customWidth="1"/>
    <col min="8" max="8" width="12.42578125" bestFit="1" customWidth="1"/>
    <col min="9" max="9" width="12" bestFit="1" customWidth="1"/>
  </cols>
  <sheetData>
    <row r="1" spans="1:9" ht="12.95">
      <c r="A1" s="1" t="s">
        <v>100</v>
      </c>
      <c r="B1" s="1" t="s">
        <v>1</v>
      </c>
    </row>
    <row r="2" spans="1:9" ht="12.95" thickBot="1"/>
    <row r="3" spans="1:9" ht="12.95">
      <c r="A3" s="65" t="s">
        <v>102</v>
      </c>
      <c r="B3" s="65"/>
    </row>
    <row r="4" spans="1:9">
      <c r="A4" s="8" t="s">
        <v>103</v>
      </c>
      <c r="B4" s="8">
        <v>0.50358197729583665</v>
      </c>
    </row>
    <row r="5" spans="1:9">
      <c r="A5" s="8" t="s">
        <v>104</v>
      </c>
      <c r="B5" s="8">
        <v>0.25359480785718458</v>
      </c>
    </row>
    <row r="6" spans="1:9">
      <c r="A6" s="8" t="s">
        <v>106</v>
      </c>
      <c r="B6" s="8">
        <v>0.25045865158767694</v>
      </c>
    </row>
    <row r="7" spans="1:9">
      <c r="A7" s="8" t="s">
        <v>107</v>
      </c>
      <c r="B7" s="8">
        <v>5.7660707815262606E-2</v>
      </c>
    </row>
    <row r="8" spans="1:9" ht="12.95" thickBot="1">
      <c r="A8" s="63" t="s">
        <v>108</v>
      </c>
      <c r="B8" s="63">
        <v>240</v>
      </c>
    </row>
    <row r="10" spans="1:9" ht="12.95" thickBot="1">
      <c r="A10" t="s">
        <v>109</v>
      </c>
    </row>
    <row r="11" spans="1:9" ht="12.95">
      <c r="A11" s="64"/>
      <c r="B11" s="64" t="s">
        <v>110</v>
      </c>
      <c r="C11" s="64" t="s">
        <v>111</v>
      </c>
      <c r="D11" s="64" t="s">
        <v>112</v>
      </c>
      <c r="E11" s="64" t="s">
        <v>113</v>
      </c>
      <c r="F11" s="64" t="s">
        <v>114</v>
      </c>
    </row>
    <row r="12" spans="1:9">
      <c r="A12" s="8" t="s">
        <v>115</v>
      </c>
      <c r="B12" s="8">
        <v>1</v>
      </c>
      <c r="C12" s="8">
        <v>0.26884539461103651</v>
      </c>
      <c r="D12" s="8">
        <v>0.26884539461103651</v>
      </c>
      <c r="E12" s="8">
        <v>80.861661876625362</v>
      </c>
      <c r="F12" s="8">
        <v>7.7613186095165671E-17</v>
      </c>
    </row>
    <row r="13" spans="1:9">
      <c r="A13" s="8" t="s">
        <v>116</v>
      </c>
      <c r="B13" s="8">
        <v>238</v>
      </c>
      <c r="C13" s="8">
        <v>0.7912922197301866</v>
      </c>
      <c r="D13" s="8">
        <v>3.3247572257570864E-3</v>
      </c>
      <c r="E13" s="8"/>
      <c r="F13" s="8"/>
    </row>
    <row r="14" spans="1:9" ht="12.95" thickBot="1">
      <c r="A14" s="63" t="s">
        <v>50</v>
      </c>
      <c r="B14" s="63">
        <v>239</v>
      </c>
      <c r="C14" s="63">
        <v>1.0601376143412231</v>
      </c>
      <c r="D14" s="63"/>
      <c r="E14" s="63"/>
      <c r="F14" s="63"/>
    </row>
    <row r="15" spans="1:9" ht="12.95" thickBot="1"/>
    <row r="16" spans="1:9" ht="12.95">
      <c r="A16" s="64"/>
      <c r="B16" s="64" t="s">
        <v>117</v>
      </c>
      <c r="C16" s="64" t="s">
        <v>107</v>
      </c>
      <c r="D16" s="64" t="s">
        <v>118</v>
      </c>
      <c r="E16" s="64" t="s">
        <v>119</v>
      </c>
      <c r="F16" s="64" t="s">
        <v>120</v>
      </c>
      <c r="G16" s="64" t="s">
        <v>121</v>
      </c>
      <c r="H16" s="64" t="s">
        <v>122</v>
      </c>
      <c r="I16" s="64" t="s">
        <v>123</v>
      </c>
    </row>
    <row r="17" spans="1:9">
      <c r="A17" s="8" t="s">
        <v>124</v>
      </c>
      <c r="B17" s="8">
        <v>-8.5686502603278623E-4</v>
      </c>
      <c r="C17" s="8">
        <v>3.760871657811853E-3</v>
      </c>
      <c r="D17" s="8">
        <v>-0.22783681656696753</v>
      </c>
      <c r="E17" s="8">
        <v>0.81996871572465868</v>
      </c>
      <c r="F17" s="8">
        <v>-8.2657127268547723E-3</v>
      </c>
      <c r="G17" s="8">
        <v>6.5519826747891989E-3</v>
      </c>
      <c r="H17" s="8">
        <v>-8.2657127268547723E-3</v>
      </c>
      <c r="I17" s="8">
        <v>6.5519826747891989E-3</v>
      </c>
    </row>
    <row r="18" spans="1:9" ht="12.95" thickBot="1">
      <c r="A18" s="63" t="s">
        <v>125</v>
      </c>
      <c r="B18" s="63">
        <v>0.77444882064163612</v>
      </c>
      <c r="C18" s="63">
        <v>8.6123444559124865E-2</v>
      </c>
      <c r="D18" s="63">
        <v>8.9923112644428311</v>
      </c>
      <c r="E18" s="63">
        <v>7.7613186095165067E-17</v>
      </c>
      <c r="F18" s="63">
        <v>0.60478722560066456</v>
      </c>
      <c r="G18" s="63">
        <v>0.94411041568260767</v>
      </c>
      <c r="H18" s="63">
        <v>0.60478722560066456</v>
      </c>
      <c r="I18" s="63">
        <v>0.94411041568260767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7C5ED-7CF1-47DA-88CC-9042B35B156A}">
  <dimension ref="A1:I18"/>
  <sheetViews>
    <sheetView workbookViewId="0">
      <selection activeCell="K29" sqref="K29"/>
    </sheetView>
  </sheetViews>
  <sheetFormatPr defaultRowHeight="12.6"/>
  <cols>
    <col min="1" max="1" width="17.85546875" bestFit="1" customWidth="1"/>
    <col min="2" max="2" width="12.42578125" bestFit="1" customWidth="1"/>
    <col min="3" max="3" width="13.42578125" bestFit="1" customWidth="1"/>
    <col min="4" max="4" width="12.42578125" bestFit="1" customWidth="1"/>
    <col min="5" max="5" width="12.140625" bestFit="1" customWidth="1"/>
    <col min="6" max="6" width="12.85546875" bestFit="1" customWidth="1"/>
    <col min="7" max="7" width="11.85546875" bestFit="1" customWidth="1"/>
    <col min="8" max="8" width="12.42578125" bestFit="1" customWidth="1"/>
    <col min="9" max="9" width="12" bestFit="1" customWidth="1"/>
  </cols>
  <sheetData>
    <row r="1" spans="1:9" ht="12.95">
      <c r="A1" s="1" t="s">
        <v>100</v>
      </c>
      <c r="B1" s="1" t="s">
        <v>2</v>
      </c>
    </row>
    <row r="2" spans="1:9" ht="12.95" thickBot="1"/>
    <row r="3" spans="1:9" ht="12.95">
      <c r="A3" s="65" t="s">
        <v>102</v>
      </c>
      <c r="B3" s="65"/>
    </row>
    <row r="4" spans="1:9">
      <c r="A4" s="8" t="s">
        <v>103</v>
      </c>
      <c r="B4" s="8">
        <v>0.56630216693056334</v>
      </c>
    </row>
    <row r="5" spans="1:9">
      <c r="A5" s="8" t="s">
        <v>104</v>
      </c>
      <c r="B5" s="8">
        <v>0.32069814427025167</v>
      </c>
    </row>
    <row r="6" spans="1:9">
      <c r="A6" s="8" t="s">
        <v>106</v>
      </c>
      <c r="B6" s="8">
        <v>0.31784393479239559</v>
      </c>
    </row>
    <row r="7" spans="1:9">
      <c r="A7" s="8" t="s">
        <v>107</v>
      </c>
      <c r="B7" s="8">
        <v>3.5374806311818101E-2</v>
      </c>
    </row>
    <row r="8" spans="1:9" ht="12.95" thickBot="1">
      <c r="A8" s="63" t="s">
        <v>108</v>
      </c>
      <c r="B8" s="63">
        <v>240</v>
      </c>
    </row>
    <row r="10" spans="1:9" ht="12.95" thickBot="1">
      <c r="A10" t="s">
        <v>109</v>
      </c>
    </row>
    <row r="11" spans="1:9" ht="12.95">
      <c r="A11" s="64"/>
      <c r="B11" s="64" t="s">
        <v>110</v>
      </c>
      <c r="C11" s="64" t="s">
        <v>111</v>
      </c>
      <c r="D11" s="64" t="s">
        <v>112</v>
      </c>
      <c r="E11" s="64" t="s">
        <v>113</v>
      </c>
      <c r="F11" s="64" t="s">
        <v>114</v>
      </c>
    </row>
    <row r="12" spans="1:9">
      <c r="A12" s="8" t="s">
        <v>115</v>
      </c>
      <c r="B12" s="8">
        <v>1</v>
      </c>
      <c r="C12" s="8">
        <v>0.14060434584526349</v>
      </c>
      <c r="D12" s="8">
        <v>0.14060434584526349</v>
      </c>
      <c r="E12" s="8">
        <v>112.3597082689044</v>
      </c>
      <c r="F12" s="8">
        <v>9.3727674724223033E-22</v>
      </c>
    </row>
    <row r="13" spans="1:9">
      <c r="A13" s="8" t="s">
        <v>116</v>
      </c>
      <c r="B13" s="8">
        <v>238</v>
      </c>
      <c r="C13" s="8">
        <v>0.2978277073404777</v>
      </c>
      <c r="D13" s="8">
        <v>1.2513769215986457E-3</v>
      </c>
      <c r="E13" s="8"/>
      <c r="F13" s="8"/>
    </row>
    <row r="14" spans="1:9" ht="12.95" thickBot="1">
      <c r="A14" s="63" t="s">
        <v>50</v>
      </c>
      <c r="B14" s="63">
        <v>239</v>
      </c>
      <c r="C14" s="63">
        <v>0.43843205318574119</v>
      </c>
      <c r="D14" s="63"/>
      <c r="E14" s="63"/>
      <c r="F14" s="63"/>
    </row>
    <row r="15" spans="1:9" ht="12.95" thickBot="1"/>
    <row r="16" spans="1:9" ht="12.95">
      <c r="A16" s="64"/>
      <c r="B16" s="64" t="s">
        <v>117</v>
      </c>
      <c r="C16" s="64" t="s">
        <v>107</v>
      </c>
      <c r="D16" s="64" t="s">
        <v>118</v>
      </c>
      <c r="E16" s="64" t="s">
        <v>119</v>
      </c>
      <c r="F16" s="64" t="s">
        <v>120</v>
      </c>
      <c r="G16" s="64" t="s">
        <v>121</v>
      </c>
      <c r="H16" s="64" t="s">
        <v>122</v>
      </c>
      <c r="I16" s="64" t="s">
        <v>123</v>
      </c>
    </row>
    <row r="17" spans="1:9">
      <c r="A17" s="8" t="s">
        <v>124</v>
      </c>
      <c r="B17" s="8">
        <v>-4.3847370997933399E-4</v>
      </c>
      <c r="C17" s="8">
        <v>2.307292287929307E-3</v>
      </c>
      <c r="D17" s="8">
        <v>-0.19003821590928335</v>
      </c>
      <c r="E17" s="8">
        <v>0.84944116903497724</v>
      </c>
      <c r="F17" s="8">
        <v>-4.9837969004269383E-3</v>
      </c>
      <c r="G17" s="8">
        <v>4.1068494804682703E-3</v>
      </c>
      <c r="H17" s="8">
        <v>-4.9837969004269383E-3</v>
      </c>
      <c r="I17" s="8">
        <v>4.1068494804682703E-3</v>
      </c>
    </row>
    <row r="18" spans="1:9" ht="12.95" thickBot="1">
      <c r="A18" s="63" t="s">
        <v>125</v>
      </c>
      <c r="B18" s="63">
        <v>0.56006804466299021</v>
      </c>
      <c r="C18" s="63">
        <v>5.2836676579596564E-2</v>
      </c>
      <c r="D18" s="63">
        <v>10.599986239090336</v>
      </c>
      <c r="E18" s="63">
        <v>9.372767472421899E-22</v>
      </c>
      <c r="F18" s="63">
        <v>0.45598076771943796</v>
      </c>
      <c r="G18" s="63">
        <v>0.66415532160654245</v>
      </c>
      <c r="H18" s="63">
        <v>0.45598076771943796</v>
      </c>
      <c r="I18" s="63">
        <v>0.66415532160654245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8503-36BA-4F0A-8308-3B8BEFC55918}">
  <dimension ref="A1:I18"/>
  <sheetViews>
    <sheetView workbookViewId="0">
      <selection activeCell="J30" sqref="J30"/>
    </sheetView>
  </sheetViews>
  <sheetFormatPr defaultRowHeight="12.6"/>
  <cols>
    <col min="1" max="1" width="17.85546875" bestFit="1" customWidth="1"/>
    <col min="2" max="2" width="11.85546875" bestFit="1" customWidth="1"/>
    <col min="3" max="3" width="13.42578125" bestFit="1" customWidth="1"/>
    <col min="4" max="4" width="11.85546875" bestFit="1" customWidth="1"/>
    <col min="5" max="5" width="12.140625" bestFit="1" customWidth="1"/>
    <col min="6" max="6" width="12.85546875" bestFit="1" customWidth="1"/>
    <col min="7" max="7" width="11.85546875" bestFit="1" customWidth="1"/>
    <col min="8" max="8" width="12.42578125" bestFit="1" customWidth="1"/>
    <col min="9" max="9" width="12" bestFit="1" customWidth="1"/>
  </cols>
  <sheetData>
    <row r="1" spans="1:9" ht="12.95">
      <c r="A1" s="1" t="s">
        <v>100</v>
      </c>
      <c r="B1" s="1" t="s">
        <v>3</v>
      </c>
    </row>
    <row r="2" spans="1:9" ht="12.95" thickBot="1"/>
    <row r="3" spans="1:9" ht="12.95">
      <c r="A3" s="65" t="s">
        <v>102</v>
      </c>
      <c r="B3" s="65"/>
    </row>
    <row r="4" spans="1:9">
      <c r="A4" s="8" t="s">
        <v>103</v>
      </c>
      <c r="B4" s="8">
        <v>0.55565294990741421</v>
      </c>
    </row>
    <row r="5" spans="1:9">
      <c r="A5" s="8" t="s">
        <v>104</v>
      </c>
      <c r="B5" s="8">
        <v>0.30875020074081133</v>
      </c>
    </row>
    <row r="6" spans="1:9">
      <c r="A6" s="8" t="s">
        <v>106</v>
      </c>
      <c r="B6" s="8">
        <v>0.30584578981955429</v>
      </c>
    </row>
    <row r="7" spans="1:9">
      <c r="A7" s="8" t="s">
        <v>107</v>
      </c>
      <c r="B7" s="8">
        <v>0.14108726498536767</v>
      </c>
    </row>
    <row r="8" spans="1:9" ht="12.95" thickBot="1">
      <c r="A8" s="63" t="s">
        <v>108</v>
      </c>
      <c r="B8" s="63">
        <v>240</v>
      </c>
    </row>
    <row r="10" spans="1:9" ht="12.95" thickBot="1">
      <c r="A10" t="s">
        <v>109</v>
      </c>
    </row>
    <row r="11" spans="1:9" ht="12.95">
      <c r="A11" s="64"/>
      <c r="B11" s="64" t="s">
        <v>110</v>
      </c>
      <c r="C11" s="64" t="s">
        <v>111</v>
      </c>
      <c r="D11" s="64" t="s">
        <v>112</v>
      </c>
      <c r="E11" s="64" t="s">
        <v>113</v>
      </c>
      <c r="F11" s="64" t="s">
        <v>114</v>
      </c>
    </row>
    <row r="12" spans="1:9">
      <c r="A12" s="8" t="s">
        <v>115</v>
      </c>
      <c r="B12" s="8">
        <v>1</v>
      </c>
      <c r="C12" s="8">
        <v>2.1160445982998546</v>
      </c>
      <c r="D12" s="8">
        <v>2.1160445982998546</v>
      </c>
      <c r="E12" s="8">
        <v>106.30389745510847</v>
      </c>
      <c r="F12" s="8">
        <v>7.6032128166412938E-21</v>
      </c>
    </row>
    <row r="13" spans="1:9">
      <c r="A13" s="8" t="s">
        <v>116</v>
      </c>
      <c r="B13" s="8">
        <v>238</v>
      </c>
      <c r="C13" s="8">
        <v>4.7375366891702226</v>
      </c>
      <c r="D13" s="8">
        <v>1.9905616341051355E-2</v>
      </c>
      <c r="E13" s="8"/>
      <c r="F13" s="8"/>
    </row>
    <row r="14" spans="1:9" ht="12.95" thickBot="1">
      <c r="A14" s="63" t="s">
        <v>50</v>
      </c>
      <c r="B14" s="63">
        <v>239</v>
      </c>
      <c r="C14" s="63">
        <v>6.8535812874700772</v>
      </c>
      <c r="D14" s="63"/>
      <c r="E14" s="63"/>
      <c r="F14" s="63"/>
    </row>
    <row r="15" spans="1:9" ht="12.95" thickBot="1"/>
    <row r="16" spans="1:9" ht="12.95">
      <c r="A16" s="64"/>
      <c r="B16" s="64" t="s">
        <v>117</v>
      </c>
      <c r="C16" s="64" t="s">
        <v>107</v>
      </c>
      <c r="D16" s="64" t="s">
        <v>118</v>
      </c>
      <c r="E16" s="64" t="s">
        <v>119</v>
      </c>
      <c r="F16" s="64" t="s">
        <v>120</v>
      </c>
      <c r="G16" s="64" t="s">
        <v>121</v>
      </c>
      <c r="H16" s="64" t="s">
        <v>122</v>
      </c>
      <c r="I16" s="64" t="s">
        <v>123</v>
      </c>
    </row>
    <row r="17" spans="1:9">
      <c r="A17" s="8" t="s">
        <v>124</v>
      </c>
      <c r="B17" s="8">
        <v>6.1383783858748649E-3</v>
      </c>
      <c r="C17" s="8">
        <v>9.2022993866407044E-3</v>
      </c>
      <c r="D17" s="8">
        <v>0.66704832433360739</v>
      </c>
      <c r="E17" s="8">
        <v>0.50538745471538249</v>
      </c>
      <c r="F17" s="8">
        <v>-1.1989981435011994E-2</v>
      </c>
      <c r="G17" s="8">
        <v>2.4266738206761722E-2</v>
      </c>
      <c r="H17" s="8">
        <v>-1.1989981435011994E-2</v>
      </c>
      <c r="I17" s="8">
        <v>2.4266738206761722E-2</v>
      </c>
    </row>
    <row r="18" spans="1:9" ht="12.95" thickBot="1">
      <c r="A18" s="63" t="s">
        <v>125</v>
      </c>
      <c r="B18" s="63">
        <v>2.1727203421525685</v>
      </c>
      <c r="C18" s="63">
        <v>0.21073139238761754</v>
      </c>
      <c r="D18" s="63">
        <v>10.310378143167608</v>
      </c>
      <c r="E18" s="63">
        <v>7.6032128166417843E-21</v>
      </c>
      <c r="F18" s="63">
        <v>1.7575833914568364</v>
      </c>
      <c r="G18" s="63">
        <v>2.5878572928483008</v>
      </c>
      <c r="H18" s="63">
        <v>1.7575833914568364</v>
      </c>
      <c r="I18" s="63">
        <v>2.5878572928483008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93CF44C40E84A9A9AB0D8B6AB34C7" ma:contentTypeVersion="3" ma:contentTypeDescription="Create a new document." ma:contentTypeScope="" ma:versionID="12056f949a20de6912da4b14ae047570">
  <xsd:schema xmlns:xsd="http://www.w3.org/2001/XMLSchema" xmlns:xs="http://www.w3.org/2001/XMLSchema" xmlns:p="http://schemas.microsoft.com/office/2006/metadata/properties" xmlns:ns2="13808388-0030-4357-b3cf-1d063c4cd51f" targetNamespace="http://schemas.microsoft.com/office/2006/metadata/properties" ma:root="true" ma:fieldsID="6a5d9fd8a78f72ccf92ef20bce12eff2" ns2:_="">
    <xsd:import namespace="13808388-0030-4357-b3cf-1d063c4cd5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08388-0030-4357-b3cf-1d063c4cd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2F5123-DD7D-408D-99E5-ECFFF402AA89}"/>
</file>

<file path=customXml/itemProps2.xml><?xml version="1.0" encoding="utf-8"?>
<ds:datastoreItem xmlns:ds="http://schemas.openxmlformats.org/officeDocument/2006/customXml" ds:itemID="{E2D9396E-E078-4CB2-86A3-BD78B4756295}"/>
</file>

<file path=customXml/itemProps3.xml><?xml version="1.0" encoding="utf-8"?>
<ds:datastoreItem xmlns:ds="http://schemas.openxmlformats.org/officeDocument/2006/customXml" ds:itemID="{8C0764EB-B670-4079-95A7-D2ACA7B39B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liem</dc:creator>
  <cp:keywords/>
  <dc:description/>
  <cp:lastModifiedBy/>
  <cp:revision/>
  <dcterms:created xsi:type="dcterms:W3CDTF">2013-07-29T09:16:07Z</dcterms:created>
  <dcterms:modified xsi:type="dcterms:W3CDTF">2025-11-23T10:15:26Z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0x010100F2693CF44C40E84A9A9AB0D8B6AB34C7</vt:lpwstr>
  </property>
</Properties>
</file>